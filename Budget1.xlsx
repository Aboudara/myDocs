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5918A642-55CA-4144-8C0D-BB1BBE208403}" xr6:coauthVersionLast="47" xr6:coauthVersionMax="47" xr10:uidLastSave="{00000000-0000-0000-0000-000000000000}"/>
  <bookViews>
    <workbookView xWindow="-120" yWindow="-120" windowWidth="29040" windowHeight="15720" firstSheet="20" activeTab="30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Credit" sheetId="28" r:id="rId29"/>
    <sheet name="Entreprise" sheetId="35" r:id="rId30"/>
    <sheet name="Construction " sheetId="27" r:id="rId31"/>
    <sheet name="Construction2" sheetId="39" r:id="rId32"/>
    <sheet name="Terrain" sheetId="18" r:id="rId33"/>
    <sheet name="Poulailler" sheetId="20" r:id="rId34"/>
    <sheet name="divers " sheetId="22" r:id="rId35"/>
    <sheet name="MB MEACSYTEM" sheetId="40" r:id="rId3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27" l="1"/>
  <c r="C81" i="27"/>
  <c r="B88" i="27"/>
  <c r="H4" i="47"/>
  <c r="L80" i="27"/>
  <c r="R90" i="27"/>
  <c r="O90" i="27"/>
  <c r="L82" i="27"/>
  <c r="C75" i="27"/>
  <c r="C77" i="27"/>
  <c r="C76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0" i="27"/>
  <c r="R86" i="27"/>
  <c r="R74" i="27"/>
  <c r="R73" i="27"/>
  <c r="R72" i="27"/>
  <c r="O73" i="27"/>
  <c r="O72" i="27"/>
  <c r="O86" i="27" s="1"/>
  <c r="L79" i="27"/>
  <c r="L78" i="27"/>
  <c r="L77" i="27"/>
  <c r="L76" i="27"/>
  <c r="L75" i="27"/>
  <c r="L74" i="27"/>
  <c r="L73" i="27"/>
  <c r="L72" i="27"/>
  <c r="L86" i="27" s="1"/>
  <c r="C82" i="27"/>
  <c r="C67" i="27"/>
  <c r="B67" i="27"/>
  <c r="C73" i="27"/>
  <c r="B73" i="27"/>
  <c r="C15" i="46"/>
  <c r="B75" i="27"/>
  <c r="M94" i="27" l="1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4" i="27"/>
  <c r="C85" i="27" s="1"/>
  <c r="B90" i="27" s="1"/>
  <c r="B84" i="27"/>
  <c r="B85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D36" i="35" s="1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29" i="46" l="1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<sst xmlns="http://schemas.openxmlformats.org/spreadsheetml/2006/main" count="1729" uniqueCount="457">
  <si>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</si>
  <si>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</si>
  <si>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</si>
  <si>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</si>
  <si>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</si>
  <si>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</si>
  <si>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</si>
  <si>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</si>
  <si>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</si>
  <si>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</si>
  <si>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</si>
  <si>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</si>
  <si>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</si>
  <si>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</si>
  <si>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</si>
  <si>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</si>
  <si>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</si>
  <si>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</si>
  <si>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</si>
  <si>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</si>
  <si>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</si>
  <si>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</si>
  <si>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</si>
  <si>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</si>
  <si>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</si>
  <si>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</si>
  <si>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</si>
  <si>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</si>
  <si>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</si>
  <si>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</si>
  <si>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</si>
  <si>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</si>
  <si>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</si>
  <si>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</si>
  <si>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</si>
  <si>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</si>
  <si>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</si>
  <si>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</si>
  <si>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</si>
  <si>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</si>
  <si>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</si>
  <si>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</si>
  <si>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</si>
  <si>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</si>
  <si>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</si>
  <si>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</si>
  <si>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</si>
  <si>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</si>
  <si>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</si>
  <si>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</si>
  <si>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</si>
  <si>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</si>
  <si>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</si>
  <si>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</si>
  <si>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</si>
  <si>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</si>
  <si>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</si>
  <si>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</si>
  <si>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</si>
  <si>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</si>
  <si>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</si>
  <si>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</si>
  <si>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</si>
  <si>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</si>
  <si>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</si>
  <si>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</si>
  <si>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</si>
  <si>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</si>
  <si>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</si>
  <si>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</si>
  <si>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</si>
  <si>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</si>
  <si>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</si>
  <si>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</si>
  <si>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</si>
  <si>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</si>
  <si>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</si>
  <si>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</si>
  <si>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</si>
  <si>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</si>
  <si>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</si>
  <si>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</si>
  <si>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</si>
  <si>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</si>
  <si>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</si>
  <si>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</si>
  <si>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</si>
  <si>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</si>
  <si>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</si>
  <si>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</si>
  <si>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</si>
  <si>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</si>
  <si>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</si>
  <si>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</si>
  <si>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</si>
  <si>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</si>
  <si>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</si>
  <si>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</si>
  <si>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</si>
  <si>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</si>
  <si>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</si>
  <si>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</si>
  <si>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</si>
  <si>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</si>
  <si>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</si>
  <si>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</si>
  <si>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</si>
  <si>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</si>
  <si>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</si>
  <si>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</si>
  <si>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</si>
  <si>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</si>
  <si>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</si>
  <si>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</si>
  <si>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</si>
  <si>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</si>
  <si>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</si>
  <si>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</si>
  <si>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</si>
  <si>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</si>
  <si>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</si>
  <si>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</si>
  <si>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</si>
  <si>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</si>
  <si>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</si>
  <si>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</si>
  <si>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</si>
  <si>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</si>
  <si>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</si>
  <si>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</si>
  <si>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</si>
  <si>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</si>
  <si>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</si>
  <si>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</si>
  <si>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</si>
  <si>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</si>
  <si>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</si>
  <si>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</si>
  <si>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</si>
  <si>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</si>
  <si>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</si>
  <si>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</si>
  <si>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</si>
  <si>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</si>
  <si>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</si>
  <si>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</si>
  <si>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</si>
  <si>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</si>
  <si>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</si>
  <si>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</si>
  <si>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</si>
  <si>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</si>
  <si>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</si>
  <si>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</si>
  <si>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</si>
  <si>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</si>
  <si>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</si>
  <si>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</si>
  <si>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</si>
  <si>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</si>
  <si>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</si>
  <si>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</si>
  <si>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</si>
  <si>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</si>
  <si>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</si>
  <si>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</si>
  <si>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</si>
  <si>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</si>
  <si>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</si>
  <si>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</si>
  <si>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</si>
  <si>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</si>
  <si>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</si>
  <si>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</si>
  <si>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</si>
  <si>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</si>
  <si>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</si>
  <si>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</si>
  <si>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</si>
  <si>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</si>
  <si>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</si>
  <si>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</si>
  <si>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</si>
  <si>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</si>
  <si>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</si>
  <si>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</si>
  <si>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</si>
  <si>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</si>
  <si>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</si>
  <si>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</si>
  <si>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</si>
  <si>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</si>
  <si>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</si>
  <si>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</si>
  <si>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</si>
  <si>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</si>
  <si>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</si>
  <si>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</si>
  <si>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</si>
  <si>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</si>
  <si>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</si>
  <si>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</si>
  <si>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</si>
  <si>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</si>
  <si>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</si>
  <si>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</si>
  <si>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</si>
  <si>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</si>
  <si>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</si>
  <si>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</si>
  <si>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</si>
  <si>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</si>
  <si>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</si>
  <si>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</si>
  <si>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</si>
  <si>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</si>
  <si>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</si>
  <si>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</si>
  <si>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</si>
  <si>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</si>
  <si>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</si>
  <si>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</si>
  <si>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</si>
  <si>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</si>
  <si>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</si>
  <si>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</si>
  <si>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</si>
  <si>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</si>
  <si>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</si>
  <si>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</si>
  <si>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</si>
  <si>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</si>
  <si>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</si>
  <si>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</si>
  <si>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</si>
  <si>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</si>
  <si>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</si>
  <si>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</si>
  <si>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</si>
  <si>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</si>
  <si>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</si>
  <si>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</si>
  <si>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</si>
  <si>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</si>
  <si>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</si>
  <si>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</si>
  <si>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</si>
  <si>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</si>
  <si>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</si>
  <si>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</si>
  <si>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</si>
  <si>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</si>
  <si>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</si>
  <si>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</si>
  <si>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</si>
  <si>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</si>
  <si>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</si>
  <si>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</si>
  <si>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</si>
  <si>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</si>
  <si>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</si>
  <si>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</si>
  <si>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</si>
  <si>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</si>
  <si>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</si>
  <si>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</si>
  <si>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</si>
  <si>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</si>
  <si>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</si>
  <si>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</si>
  <si>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</si>
  <si>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</si>
  <si>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</si>
  <si>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</si>
  <si>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</si>
  <si>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</si>
  <si>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</si>
  <si>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</si>
  <si>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</si>
  <si>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</si>
  <si>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</si>
  <si>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</si>
  <si>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</si>
  <si>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</si>
  <si>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</si>
  <si>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</si>
  <si>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</si>
  <si>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</si>
  <si>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</si>
  <si>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</si>
  <si>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</si>
  <si>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</si>
  <si>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</si>
  <si>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</si>
  <si>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</si>
  <si>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</si>
  <si>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</si>
  <si>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</si>
  <si>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</si>
  <si>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</si>
  <si>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</si>
  <si>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</si>
  <si>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</si>
  <si>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</si>
  <si>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</si>
  <si>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</si>
  <si>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</si>
  <si>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</si>
  <si>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</si>
  <si>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</si>
  <si>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</si>
  <si>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</si>
  <si>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</si>
  <si>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</si>
  <si>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</si>
  <si>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</si>
  <si>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</si>
  <si>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</si>
  <si>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</si>
  <si>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</si>
  <si>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</si>
  <si>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</si>
  <si>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</si>
  <si>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</si>
  <si>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</si>
  <si>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</si>
  <si>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</si>
  <si>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</si>
  <si>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</si>
  <si>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</si>
  <si>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</si>
  <si>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</si>
  <si>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</si>
  <si>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</si>
  <si>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</si>
  <si>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</si>
  <si>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</si>
  <si>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</si>
  <si>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</si>
  <si>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</si>
  <si>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</si>
  <si>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</si>
  <si>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</si>
  <si>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</si>
  <si>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</si>
  <si>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</si>
  <si>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</si>
  <si>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</si>
  <si>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</si>
  <si>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</si>
  <si>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</si>
  <si>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</si>
  <si>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</si>
  <si>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</si>
  <si>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</si>
  <si>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</si>
  <si>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</si>
  <si>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</si>
  <si>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</si>
  <si>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</si>
  <si>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</si>
  <si>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</si>
  <si>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</si>
  <si>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</si>
  <si>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</si>
  <si>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</si>
  <si>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</si>
  <si>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</si>
  <si>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</si>
  <si>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</si>
  <si>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</si>
  <si>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</si>
  <si>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</si>
  <si>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</si>
  <si>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</si>
  <si>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</si>
  <si>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</si>
  <si>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</si>
  <si>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</si>
  <si>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</si>
  <si>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</si>
  <si>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</si>
  <si>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</si>
  <si>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</si>
  <si>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</si>
  <si>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</si>
  <si>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</si>
  <si>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</si>
  <si>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</si>
  <si>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</si>
  <si>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</si>
  <si>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</si>
  <si>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</si>
  <si>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</si>
  <si>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</si>
  <si>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</si>
  <si>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</si>
  <si>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</si>
  <si>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</si>
  <si>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</si>
  <si>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</si>
  <si>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</si>
  <si>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</si>
  <si>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</si>
  <si>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</si>
  <si>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</si>
  <si>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</si>
  <si>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</si>
  <si>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</si>
  <si>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</si>
  <si>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</si>
  <si>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</si>
  <si>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</si>
  <si>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</si>
  <si>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</si>
  <si>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</si>
  <si>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</si>
  <si>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</si>
  <si>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</si>
  <si>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</si>
  <si>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</si>
  <si>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</si>
  <si>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</si>
  <si>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</si>
  <si>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</si>
  <si>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</si>
  <si>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</si>
  <si>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</si>
  <si>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</si>
  <si>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</si>
  <si>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</si>
  <si>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</si>
  <si>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</si>
  <si>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</si>
  <si>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</si>
  <si>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</si>
  <si>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</si>
  <si>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</si>
  <si>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</si>
  <si>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</si>
  <si>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</si>
  <si>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</si>
  <si>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</si>
  <si>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</si>
  <si>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</si>
  <si>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</si>
  <si>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</si>
  <si>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</si>
  <si>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</si>
  <si>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</si>
  <si>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</si>
  <si>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</si>
  <si>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</si>
  <si>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>Carreau cuisine sol</t>
  </si>
  <si>
    <t xml:space="preserve">total </t>
  </si>
  <si>
    <t>escalier</t>
  </si>
  <si>
    <t>Terrassement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</si>
</sst>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H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B30" sqref="B30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3116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19500</v>
      </c>
    </row>
    <row r="22" spans="1:15" x14ac:dyDescent="0.25">
      <c r="M22">
        <f>SUM(M7:M20)</f>
        <v>2000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/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1000</v>
      </c>
      <c r="D41" s="18">
        <f>SUM(D27:D39)</f>
        <v>0</v>
      </c>
      <c r="E41" s="18">
        <f>SUM(E27:E39)</f>
        <v>0</v>
      </c>
      <c r="F41" s="18">
        <f>SUM(B41:E41)</f>
        <v>2000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3750</v>
      </c>
      <c r="D34" s="5">
        <f>C34+(C34*20%)</f>
        <v>4500</v>
      </c>
      <c r="E34" s="5">
        <f>C34*26%</f>
        <v>975</v>
      </c>
      <c r="F34" s="5">
        <f>C34-E34</f>
        <v>2775</v>
      </c>
      <c r="G34" s="5">
        <f>D34-C34</f>
        <v>750</v>
      </c>
    </row>
    <row r="36" spans="1:7" x14ac:dyDescent="0.25">
      <c r="A36" t="s">
        <v>362</v>
      </c>
      <c r="C36">
        <f>C33+C34</f>
        <v>3750</v>
      </c>
      <c r="D36">
        <f>D33+D34</f>
        <v>4500</v>
      </c>
      <c r="E36" s="5">
        <f>E33+E34</f>
        <v>975</v>
      </c>
      <c r="F36" s="19">
        <f>F33+F34</f>
        <v>2775</v>
      </c>
      <c r="G36" s="5">
        <f>G33+G34</f>
        <v>750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4"/>
  <sheetViews>
    <sheetView tabSelected="1" topLeftCell="A64" zoomScale="106" workbookViewId="0">
      <selection activeCell="C74" sqref="C74"/>
    </sheetView>
  </sheetViews>
  <sheetFormatPr baseColWidth="10" defaultRowHeight="15.75" x14ac:dyDescent="0.25"/>
  <cols>
    <col min="1" max="1" width="17.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t="s">
        <v>408</v>
      </c>
      <c r="B68" s="5">
        <v>396250</v>
      </c>
      <c r="C68" s="5">
        <v>396250</v>
      </c>
    </row>
    <row r="69" spans="1:18" x14ac:dyDescent="0.25">
      <c r="A69" t="s">
        <v>409</v>
      </c>
      <c r="B69" s="5">
        <v>350000</v>
      </c>
      <c r="C69" s="5">
        <v>350000</v>
      </c>
    </row>
    <row r="70" spans="1:18" x14ac:dyDescent="0.25">
      <c r="A70" t="s">
        <v>410</v>
      </c>
      <c r="B70" s="5">
        <v>400000</v>
      </c>
      <c r="C70" s="5">
        <v>400000</v>
      </c>
    </row>
    <row r="71" spans="1:18" x14ac:dyDescent="0.25">
      <c r="A71" t="s">
        <v>412</v>
      </c>
      <c r="B71" s="5">
        <v>260000</v>
      </c>
      <c r="C71" s="5">
        <v>260000</v>
      </c>
      <c r="H71" t="s">
        <v>453</v>
      </c>
      <c r="K71" t="s">
        <v>445</v>
      </c>
      <c r="N71" t="s">
        <v>446</v>
      </c>
      <c r="Q71" t="s">
        <v>449</v>
      </c>
    </row>
    <row r="72" spans="1:18" x14ac:dyDescent="0.25">
      <c r="A72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</f>
        <v>310000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t="s">
        <v>422</v>
      </c>
      <c r="B74">
        <v>2100000</v>
      </c>
      <c r="C74">
        <f>500000+200000+300000+200000+100000+250000+150000</f>
        <v>1700000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t="s">
        <v>423</v>
      </c>
      <c r="B75">
        <f>675000+120000</f>
        <v>795000</v>
      </c>
      <c r="C75">
        <f>73000+73000+73000+73000+73000+88000</f>
        <v>453000</v>
      </c>
      <c r="K75" t="s">
        <v>440</v>
      </c>
      <c r="L75">
        <f>1.4*16</f>
        <v>22.4</v>
      </c>
      <c r="Q75" t="s">
        <v>443</v>
      </c>
    </row>
    <row r="76" spans="1:18" x14ac:dyDescent="0.25">
      <c r="A76" t="s">
        <v>432</v>
      </c>
      <c r="B76">
        <v>675000</v>
      </c>
      <c r="C76">
        <f>300000+150000</f>
        <v>450000</v>
      </c>
      <c r="K76" t="s">
        <v>441</v>
      </c>
      <c r="L76">
        <f>3*5</f>
        <v>15</v>
      </c>
      <c r="Q76" t="s">
        <v>444</v>
      </c>
    </row>
    <row r="77" spans="1:18" x14ac:dyDescent="0.25">
      <c r="A77" t="s">
        <v>431</v>
      </c>
      <c r="C77">
        <f>300000+201000+150000</f>
        <v>651000</v>
      </c>
      <c r="K77" t="s">
        <v>442</v>
      </c>
      <c r="L77">
        <f>1*3.9</f>
        <v>3.9</v>
      </c>
    </row>
    <row r="78" spans="1:18" x14ac:dyDescent="0.25">
      <c r="A78" t="s">
        <v>434</v>
      </c>
      <c r="B78">
        <v>1000000</v>
      </c>
      <c r="K78" t="s">
        <v>443</v>
      </c>
      <c r="L78">
        <f>2*2</f>
        <v>4</v>
      </c>
    </row>
    <row r="79" spans="1:18" x14ac:dyDescent="0.25">
      <c r="A79" t="s">
        <v>435</v>
      </c>
      <c r="B79">
        <v>400000</v>
      </c>
      <c r="K79" t="s">
        <v>444</v>
      </c>
      <c r="L79">
        <f>3*2</f>
        <v>6</v>
      </c>
    </row>
    <row r="80" spans="1:18" x14ac:dyDescent="0.25">
      <c r="A80" t="s">
        <v>436</v>
      </c>
      <c r="C80">
        <f>155000</f>
        <v>155000</v>
      </c>
      <c r="K80" t="s">
        <v>270</v>
      </c>
      <c r="L80">
        <f>1.4*3.9</f>
        <v>5.46</v>
      </c>
    </row>
    <row r="81" spans="1:18" x14ac:dyDescent="0.25">
      <c r="A81" t="s">
        <v>456</v>
      </c>
      <c r="C81">
        <f>292000</f>
        <v>292000</v>
      </c>
    </row>
    <row r="82" spans="1:18" x14ac:dyDescent="0.25">
      <c r="A82" t="s">
        <v>433</v>
      </c>
      <c r="C82">
        <f>200000</f>
        <v>200000</v>
      </c>
      <c r="K82" t="s">
        <v>455</v>
      </c>
      <c r="L82">
        <f>(0.5*1)*20</f>
        <v>10</v>
      </c>
    </row>
    <row r="84" spans="1:18" x14ac:dyDescent="0.25">
      <c r="A84" t="s">
        <v>6</v>
      </c>
      <c r="B84">
        <f>SUM(B67:B82)</f>
        <v>7595750</v>
      </c>
      <c r="C84">
        <f>SUM(C67:C82)</f>
        <v>6246750</v>
      </c>
    </row>
    <row r="85" spans="1:18" x14ac:dyDescent="0.25">
      <c r="A85" t="s">
        <v>421</v>
      </c>
      <c r="B85">
        <f>B84/655</f>
        <v>11596.564885496184</v>
      </c>
      <c r="C85">
        <f>C84/655</f>
        <v>9537.0229007633588</v>
      </c>
    </row>
    <row r="86" spans="1:18" x14ac:dyDescent="0.25">
      <c r="H86" t="s">
        <v>454</v>
      </c>
      <c r="K86" t="s">
        <v>6</v>
      </c>
      <c r="L86">
        <f>SUM(L72:L85)</f>
        <v>114.96399999999998</v>
      </c>
      <c r="N86" t="s">
        <v>6</v>
      </c>
      <c r="O86">
        <f t="shared" ref="O86" si="0">SUM(O72:O85)</f>
        <v>5.7435999999999998</v>
      </c>
      <c r="Q86" t="s">
        <v>175</v>
      </c>
      <c r="R86">
        <f t="shared" ref="R86" si="1">SUM(R72:R85)</f>
        <v>67.2</v>
      </c>
    </row>
    <row r="87" spans="1:18" x14ac:dyDescent="0.25">
      <c r="I87">
        <v>6</v>
      </c>
      <c r="L87">
        <v>130</v>
      </c>
      <c r="O87">
        <v>6</v>
      </c>
      <c r="R87">
        <v>67</v>
      </c>
    </row>
    <row r="88" spans="1:18" x14ac:dyDescent="0.25">
      <c r="A88" t="s">
        <v>417</v>
      </c>
      <c r="B88">
        <f>2000+4000+3000+800</f>
        <v>9800</v>
      </c>
    </row>
    <row r="90" spans="1:18" x14ac:dyDescent="0.25">
      <c r="A90" t="s">
        <v>99</v>
      </c>
      <c r="B90">
        <f>B88-C85</f>
        <v>262.97709923664115</v>
      </c>
      <c r="L90">
        <f>L87*7000</f>
        <v>910000</v>
      </c>
      <c r="O90">
        <f>O87*5000</f>
        <v>30000</v>
      </c>
      <c r="R90">
        <f>R87*5500</f>
        <v>368500</v>
      </c>
    </row>
    <row r="94" spans="1:18" x14ac:dyDescent="0.25">
      <c r="K94" t="s">
        <v>175</v>
      </c>
      <c r="M94">
        <f>I90+L90+O90+R90</f>
        <v>1308500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36</vt:i4>
      </vt:variant>
    </vt:vector>
  </HeadingPairs>
  <TitlesOfParts>
    <vt:vector size="36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2025-03-19T12:31:38Z</dcterms:modified>
</cp:coreProperties>
</file>