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NewGit\myDocs\"/>
    </mc:Choice>
  </mc:AlternateContent>
  <xr:revisionPtr revIDLastSave="0" documentId="13_ncr:1_{2F77F377-436D-4DA8-9702-E800F68C8504}" xr6:coauthVersionLast="47" xr6:coauthVersionMax="47" xr10:uidLastSave="{00000000-0000-0000-0000-000000000000}"/>
  <bookViews>
    <workbookView xWindow="-120" yWindow="-120" windowWidth="29040" windowHeight="15720" firstSheet="20" activeTab="27" xr2:uid="{27B7E826-E620-B34C-81E1-46A3DBC74E62}"/>
  </bookViews>
  <sheets>
    <sheet name="Fevrier" sheetId="3" r:id="rId1"/>
    <sheet name="Mars" sheetId="4" r:id="rId2"/>
    <sheet name="Avril" sheetId="5" r:id="rId3"/>
    <sheet name="Feuil4" sheetId="21" r:id="rId4"/>
    <sheet name="Mai" sheetId="6" r:id="rId5"/>
    <sheet name="Juin" sheetId="7" r:id="rId6"/>
    <sheet name="Juillet" sheetId="9" r:id="rId7"/>
    <sheet name="Aout" sheetId="10" r:id="rId8"/>
    <sheet name="Septembre" sheetId="12" r:id="rId9"/>
    <sheet name="Octobre" sheetId="13" r:id="rId10"/>
    <sheet name="Novembre" sheetId="14" r:id="rId11"/>
    <sheet name="Aout23" sheetId="25" r:id="rId12"/>
    <sheet name="Sept23" sheetId="29" r:id="rId13"/>
    <sheet name="Octb23" sheetId="30" r:id="rId14"/>
    <sheet name="Nov2023" sheetId="31" r:id="rId15"/>
    <sheet name="Dec2023" sheetId="32" r:id="rId16"/>
    <sheet name="JAN24" sheetId="33" r:id="rId17"/>
    <sheet name="FEV24" sheetId="34" r:id="rId18"/>
    <sheet name="MARS24" sheetId="36" r:id="rId19"/>
    <sheet name="AVRIL24" sheetId="37" r:id="rId20"/>
    <sheet name="AOUT24" sheetId="38" r:id="rId21"/>
    <sheet name="SEP24" sheetId="41" r:id="rId22"/>
    <sheet name="OCT24" sheetId="42" r:id="rId23"/>
    <sheet name="NOV24" sheetId="43" r:id="rId24"/>
    <sheet name="DEC24" sheetId="44" r:id="rId25"/>
    <sheet name="JANV25" sheetId="45" r:id="rId26"/>
    <sheet name="FEVR25" sheetId="46" r:id="rId27"/>
    <sheet name="Mars25" sheetId="47" r:id="rId28"/>
    <sheet name="Credit" sheetId="28" r:id="rId29"/>
    <sheet name="Entreprise" sheetId="35" r:id="rId30"/>
    <sheet name="Construction " sheetId="27" r:id="rId31"/>
    <sheet name="Construction2" sheetId="39" r:id="rId32"/>
    <sheet name="Terrain" sheetId="18" r:id="rId33"/>
    <sheet name="Poulailler" sheetId="20" r:id="rId34"/>
    <sheet name="divers " sheetId="22" r:id="rId35"/>
    <sheet name="MB MEACSYTEM" sheetId="40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7" l="1"/>
  <c r="C75" i="27"/>
  <c r="C77" i="27"/>
  <c r="C76" i="27"/>
  <c r="C74" i="27"/>
  <c r="C80" i="27"/>
  <c r="P125" i="47"/>
  <c r="E121" i="47"/>
  <c r="B106" i="47"/>
  <c r="D106" i="47" s="1"/>
  <c r="F54" i="47"/>
  <c r="M39" i="47"/>
  <c r="E36" i="47"/>
  <c r="Q22" i="47"/>
  <c r="N22" i="47"/>
  <c r="P26" i="47" s="1"/>
  <c r="L29" i="47" s="1"/>
  <c r="I22" i="47"/>
  <c r="F22" i="47"/>
  <c r="C22" i="47"/>
  <c r="D26" i="47" s="1"/>
  <c r="T14" i="47"/>
  <c r="M93" i="27"/>
  <c r="I89" i="27"/>
  <c r="O89" i="27"/>
  <c r="R89" i="27"/>
  <c r="L89" i="27"/>
  <c r="R85" i="27"/>
  <c r="R74" i="27"/>
  <c r="R73" i="27"/>
  <c r="R72" i="27"/>
  <c r="I85" i="27"/>
  <c r="I72" i="27"/>
  <c r="O85" i="27"/>
  <c r="O73" i="27"/>
  <c r="O72" i="27"/>
  <c r="L85" i="27"/>
  <c r="L79" i="27"/>
  <c r="L78" i="27"/>
  <c r="L77" i="27"/>
  <c r="L76" i="27"/>
  <c r="L75" i="27"/>
  <c r="L74" i="27"/>
  <c r="L73" i="27"/>
  <c r="L72" i="27"/>
  <c r="C81" i="27"/>
  <c r="C67" i="27"/>
  <c r="B87" i="27"/>
  <c r="B67" i="27"/>
  <c r="C73" i="27"/>
  <c r="B73" i="27"/>
  <c r="C15" i="46"/>
  <c r="B75" i="27"/>
  <c r="C29" i="47" l="1"/>
  <c r="J34" i="47" s="1"/>
  <c r="C34" i="47"/>
  <c r="P125" i="46"/>
  <c r="E121" i="46"/>
  <c r="B106" i="46"/>
  <c r="D106" i="46" s="1"/>
  <c r="F54" i="46"/>
  <c r="M39" i="46"/>
  <c r="E36" i="46"/>
  <c r="Q22" i="46"/>
  <c r="P26" i="46" s="1"/>
  <c r="L29" i="46" s="1"/>
  <c r="N22" i="46"/>
  <c r="I22" i="46"/>
  <c r="F22" i="46"/>
  <c r="T14" i="46"/>
  <c r="C22" i="46"/>
  <c r="D26" i="46" s="1"/>
  <c r="O23" i="27"/>
  <c r="C83" i="27"/>
  <c r="C84" i="27" s="1"/>
  <c r="B89" i="27" s="1"/>
  <c r="B83" i="27"/>
  <c r="B84" i="27" s="1"/>
  <c r="M64" i="27"/>
  <c r="N52" i="27"/>
  <c r="C9" i="45"/>
  <c r="F13" i="44"/>
  <c r="F21" i="44" s="1"/>
  <c r="H58" i="27"/>
  <c r="B63" i="27" s="1"/>
  <c r="C10" i="45"/>
  <c r="P124" i="45"/>
  <c r="E120" i="45"/>
  <c r="B105" i="45"/>
  <c r="D105" i="45" s="1"/>
  <c r="F53" i="45"/>
  <c r="M38" i="45"/>
  <c r="E35" i="45"/>
  <c r="Q21" i="45"/>
  <c r="N21" i="45"/>
  <c r="P25" i="45" s="1"/>
  <c r="L28" i="45" s="1"/>
  <c r="I21" i="45"/>
  <c r="F21" i="45"/>
  <c r="T14" i="45"/>
  <c r="E34" i="35"/>
  <c r="F34" i="35" s="1"/>
  <c r="C36" i="35"/>
  <c r="D34" i="35"/>
  <c r="G34" i="35" s="1"/>
  <c r="G33" i="35"/>
  <c r="E33" i="35"/>
  <c r="D33" i="35"/>
  <c r="D36" i="35" s="1"/>
  <c r="C13" i="44"/>
  <c r="C21" i="44" s="1"/>
  <c r="P124" i="44"/>
  <c r="E120" i="44"/>
  <c r="D105" i="44"/>
  <c r="B105" i="44"/>
  <c r="F53" i="44"/>
  <c r="M38" i="44"/>
  <c r="E35" i="44"/>
  <c r="P25" i="44"/>
  <c r="L28" i="44" s="1"/>
  <c r="Q21" i="44"/>
  <c r="N21" i="44"/>
  <c r="I21" i="44"/>
  <c r="T14" i="44"/>
  <c r="M22" i="28"/>
  <c r="J16" i="28" s="1"/>
  <c r="E28" i="35"/>
  <c r="F28" i="35" s="1"/>
  <c r="P124" i="43"/>
  <c r="E120" i="43"/>
  <c r="B105" i="43"/>
  <c r="D105" i="43" s="1"/>
  <c r="F53" i="43"/>
  <c r="M38" i="43"/>
  <c r="E35" i="43"/>
  <c r="Q21" i="43"/>
  <c r="N21" i="43"/>
  <c r="P25" i="43" s="1"/>
  <c r="L28" i="43" s="1"/>
  <c r="I21" i="43"/>
  <c r="F21" i="43"/>
  <c r="C21" i="43"/>
  <c r="T14" i="43"/>
  <c r="C30" i="35"/>
  <c r="D28" i="35"/>
  <c r="G28" i="35" s="1"/>
  <c r="G27" i="35"/>
  <c r="E27" i="35"/>
  <c r="D27" i="35"/>
  <c r="P124" i="42"/>
  <c r="E120" i="42"/>
  <c r="B105" i="42"/>
  <c r="D105" i="42" s="1"/>
  <c r="F53" i="42"/>
  <c r="M38" i="42"/>
  <c r="E35" i="42"/>
  <c r="Q21" i="42"/>
  <c r="N21" i="42"/>
  <c r="P25" i="42" s="1"/>
  <c r="L28" i="42" s="1"/>
  <c r="I21" i="42"/>
  <c r="C21" i="42"/>
  <c r="F21" i="42"/>
  <c r="T14" i="42"/>
  <c r="E22" i="35"/>
  <c r="D22" i="35"/>
  <c r="M38" i="41"/>
  <c r="F17" i="41" s="1"/>
  <c r="F21" i="41" s="1"/>
  <c r="C24" i="35"/>
  <c r="F22" i="35"/>
  <c r="E21" i="35"/>
  <c r="E24" i="35" s="1"/>
  <c r="D21" i="35"/>
  <c r="G21" i="35" s="1"/>
  <c r="F53" i="41"/>
  <c r="E35" i="41"/>
  <c r="P124" i="41"/>
  <c r="E120" i="41"/>
  <c r="B105" i="41"/>
  <c r="D105" i="41" s="1"/>
  <c r="Q21" i="41"/>
  <c r="N21" i="41"/>
  <c r="P25" i="41" s="1"/>
  <c r="L28" i="41" s="1"/>
  <c r="I21" i="41"/>
  <c r="T14" i="41"/>
  <c r="C21" i="41"/>
  <c r="C16" i="35"/>
  <c r="C18" i="35" s="1"/>
  <c r="C9" i="38"/>
  <c r="C21" i="38" s="1"/>
  <c r="E22" i="39"/>
  <c r="G22" i="39" s="1"/>
  <c r="C22" i="39"/>
  <c r="D22" i="39"/>
  <c r="E11" i="39"/>
  <c r="G11" i="39" s="1"/>
  <c r="C5" i="39"/>
  <c r="C11" i="39" s="1"/>
  <c r="E25" i="27"/>
  <c r="F25" i="27" s="1"/>
  <c r="D15" i="35"/>
  <c r="G15" i="35" s="1"/>
  <c r="D9" i="35"/>
  <c r="G9" i="35" s="1"/>
  <c r="E15" i="35"/>
  <c r="F21" i="38"/>
  <c r="P124" i="38"/>
  <c r="E120" i="38"/>
  <c r="B105" i="38"/>
  <c r="D105" i="38" s="1"/>
  <c r="Q21" i="38"/>
  <c r="N21" i="38"/>
  <c r="P25" i="38" s="1"/>
  <c r="L28" i="38" s="1"/>
  <c r="I21" i="38"/>
  <c r="T14" i="38"/>
  <c r="P124" i="37"/>
  <c r="E120" i="37"/>
  <c r="B105" i="37"/>
  <c r="D105" i="37" s="1"/>
  <c r="Q21" i="37"/>
  <c r="P25" i="37" s="1"/>
  <c r="L28" i="37" s="1"/>
  <c r="N21" i="37"/>
  <c r="I21" i="37"/>
  <c r="F21" i="37"/>
  <c r="C21" i="37"/>
  <c r="D25" i="37" s="1"/>
  <c r="C28" i="37" s="1"/>
  <c r="T14" i="37"/>
  <c r="C10" i="35"/>
  <c r="C12" i="35" s="1"/>
  <c r="E9" i="35"/>
  <c r="F42" i="27"/>
  <c r="F50" i="27" s="1"/>
  <c r="L40" i="27"/>
  <c r="I44" i="27"/>
  <c r="I43" i="27"/>
  <c r="I47" i="27" s="1"/>
  <c r="E2" i="35"/>
  <c r="F2" i="35" s="1"/>
  <c r="F21" i="36"/>
  <c r="P124" i="36"/>
  <c r="E120" i="36"/>
  <c r="B105" i="36"/>
  <c r="D105" i="36" s="1"/>
  <c r="Q21" i="36"/>
  <c r="N21" i="36"/>
  <c r="I21" i="36"/>
  <c r="C21" i="36"/>
  <c r="T14" i="36"/>
  <c r="E3" i="35"/>
  <c r="F3" i="35" s="1"/>
  <c r="C5" i="35"/>
  <c r="D3" i="35"/>
  <c r="D2" i="35"/>
  <c r="G2" i="35" s="1"/>
  <c r="L2" i="27"/>
  <c r="B32" i="27" s="1"/>
  <c r="F21" i="34"/>
  <c r="J14" i="28"/>
  <c r="B43" i="27"/>
  <c r="B41" i="27"/>
  <c r="B42" i="27"/>
  <c r="B40" i="27"/>
  <c r="B39" i="27"/>
  <c r="B38" i="27"/>
  <c r="P124" i="34"/>
  <c r="E120" i="34"/>
  <c r="D105" i="34"/>
  <c r="B105" i="34"/>
  <c r="Q21" i="34"/>
  <c r="N21" i="34"/>
  <c r="P25" i="34" s="1"/>
  <c r="L28" i="34" s="1"/>
  <c r="I21" i="34"/>
  <c r="C21" i="34"/>
  <c r="T14" i="34"/>
  <c r="G4" i="34"/>
  <c r="F20" i="33"/>
  <c r="P123" i="33"/>
  <c r="E119" i="33"/>
  <c r="B104" i="33"/>
  <c r="D104" i="33" s="1"/>
  <c r="P24" i="33"/>
  <c r="L27" i="33" s="1"/>
  <c r="Q20" i="33"/>
  <c r="N20" i="33"/>
  <c r="I20" i="33"/>
  <c r="C20" i="33"/>
  <c r="T14" i="33"/>
  <c r="G4" i="33"/>
  <c r="C41" i="28"/>
  <c r="D41" i="28"/>
  <c r="E41" i="28"/>
  <c r="B41" i="28"/>
  <c r="P123" i="32"/>
  <c r="E119" i="32"/>
  <c r="B104" i="32"/>
  <c r="D104" i="32" s="1"/>
  <c r="Q20" i="32"/>
  <c r="N20" i="32"/>
  <c r="I20" i="32"/>
  <c r="F20" i="32"/>
  <c r="C20" i="32"/>
  <c r="D24" i="32" s="1"/>
  <c r="T14" i="32"/>
  <c r="G4" i="32"/>
  <c r="P123" i="31"/>
  <c r="E119" i="31"/>
  <c r="B104" i="31"/>
  <c r="D104" i="31" s="1"/>
  <c r="Q20" i="31"/>
  <c r="N20" i="31"/>
  <c r="P24" i="31" s="1"/>
  <c r="L27" i="31" s="1"/>
  <c r="I20" i="31"/>
  <c r="F20" i="31"/>
  <c r="C20" i="31"/>
  <c r="T14" i="31"/>
  <c r="G4" i="31"/>
  <c r="H19" i="28"/>
  <c r="P123" i="30"/>
  <c r="E119" i="30"/>
  <c r="B104" i="30"/>
  <c r="D104" i="30" s="1"/>
  <c r="P24" i="30"/>
  <c r="L27" i="30" s="1"/>
  <c r="Q20" i="30"/>
  <c r="N20" i="30"/>
  <c r="I20" i="30"/>
  <c r="F20" i="30"/>
  <c r="C20" i="30"/>
  <c r="T14" i="30"/>
  <c r="G4" i="30"/>
  <c r="G4" i="25"/>
  <c r="G4" i="29"/>
  <c r="P123" i="29"/>
  <c r="E119" i="29"/>
  <c r="B104" i="29"/>
  <c r="D104" i="29" s="1"/>
  <c r="Q20" i="29"/>
  <c r="N20" i="29"/>
  <c r="P24" i="29" s="1"/>
  <c r="L27" i="29" s="1"/>
  <c r="I20" i="29"/>
  <c r="F20" i="29"/>
  <c r="C20" i="29"/>
  <c r="T14" i="29"/>
  <c r="B6" i="28"/>
  <c r="T14" i="25"/>
  <c r="F20" i="25"/>
  <c r="P123" i="25"/>
  <c r="E119" i="25"/>
  <c r="B104" i="25"/>
  <c r="D104" i="25" s="1"/>
  <c r="Q20" i="25"/>
  <c r="N20" i="25"/>
  <c r="I20" i="25"/>
  <c r="C20" i="25"/>
  <c r="C29" i="46" l="1"/>
  <c r="J34" i="46" s="1"/>
  <c r="C34" i="46"/>
  <c r="C21" i="45"/>
  <c r="D25" i="45" s="1"/>
  <c r="C33" i="45" s="1"/>
  <c r="E36" i="35"/>
  <c r="G36" i="35"/>
  <c r="F33" i="35"/>
  <c r="F36" i="35" s="1"/>
  <c r="D25" i="44"/>
  <c r="C28" i="44" s="1"/>
  <c r="J33" i="44" s="1"/>
  <c r="D25" i="43"/>
  <c r="C28" i="43" s="1"/>
  <c r="J33" i="43" s="1"/>
  <c r="P24" i="32"/>
  <c r="L27" i="32" s="1"/>
  <c r="D24" i="33"/>
  <c r="C27" i="33" s="1"/>
  <c r="J32" i="33" s="1"/>
  <c r="D30" i="35"/>
  <c r="E30" i="35"/>
  <c r="P25" i="36"/>
  <c r="L28" i="36" s="1"/>
  <c r="D5" i="35"/>
  <c r="G30" i="35"/>
  <c r="F27" i="35"/>
  <c r="F30" i="35" s="1"/>
  <c r="D25" i="42"/>
  <c r="D24" i="35"/>
  <c r="G22" i="35"/>
  <c r="G24" i="35" s="1"/>
  <c r="F21" i="35"/>
  <c r="F24" i="35" s="1"/>
  <c r="I24" i="35" s="1"/>
  <c r="D25" i="41"/>
  <c r="C28" i="41" s="1"/>
  <c r="J33" i="41" s="1"/>
  <c r="B50" i="27"/>
  <c r="D16" i="35"/>
  <c r="E16" i="35"/>
  <c r="E18" i="35" s="1"/>
  <c r="F15" i="35"/>
  <c r="D25" i="38"/>
  <c r="C28" i="38" s="1"/>
  <c r="J33" i="38" s="1"/>
  <c r="B31" i="27"/>
  <c r="J33" i="37"/>
  <c r="D10" i="35"/>
  <c r="G10" i="35" s="1"/>
  <c r="G12" i="35" s="1"/>
  <c r="E10" i="35"/>
  <c r="F10" i="35" s="1"/>
  <c r="F9" i="35"/>
  <c r="G3" i="35"/>
  <c r="G5" i="35" s="1"/>
  <c r="D25" i="36"/>
  <c r="C28" i="36" s="1"/>
  <c r="F5" i="35"/>
  <c r="E5" i="35"/>
  <c r="D25" i="34"/>
  <c r="C28" i="34" s="1"/>
  <c r="J33" i="34" s="1"/>
  <c r="F41" i="28"/>
  <c r="B20" i="28" s="1"/>
  <c r="C27" i="32"/>
  <c r="J32" i="32" s="1"/>
  <c r="D24" i="31"/>
  <c r="C27" i="31" s="1"/>
  <c r="J32" i="31" s="1"/>
  <c r="D24" i="30"/>
  <c r="C27" i="30" s="1"/>
  <c r="J32" i="30" s="1"/>
  <c r="D24" i="29"/>
  <c r="C27" i="29" s="1"/>
  <c r="J32" i="29" s="1"/>
  <c r="P24" i="25"/>
  <c r="L27" i="25" s="1"/>
  <c r="D24" i="25"/>
  <c r="C27" i="25" s="1"/>
  <c r="C28" i="45" l="1"/>
  <c r="J33" i="45" s="1"/>
  <c r="C33" i="44"/>
  <c r="C33" i="43"/>
  <c r="I5" i="35"/>
  <c r="J33" i="36"/>
  <c r="C28" i="42"/>
  <c r="J33" i="42" s="1"/>
  <c r="C33" i="42"/>
  <c r="F16" i="35"/>
  <c r="F18" i="35"/>
  <c r="I18" i="35" s="1"/>
  <c r="G16" i="35"/>
  <c r="G18" i="35" s="1"/>
  <c r="D18" i="35"/>
  <c r="E12" i="35"/>
  <c r="I12" i="35" s="1"/>
  <c r="F12" i="35"/>
  <c r="D12" i="35"/>
  <c r="J32" i="25"/>
  <c r="C19" i="22"/>
  <c r="M19" i="18"/>
  <c r="H19" i="22"/>
  <c r="E24" i="18"/>
  <c r="B24" i="18"/>
  <c r="I19" i="18"/>
  <c r="I4" i="18"/>
  <c r="E9" i="18"/>
  <c r="D12" i="20"/>
  <c r="Q34" i="14"/>
  <c r="N34" i="14"/>
  <c r="I34" i="14"/>
  <c r="F34" i="14"/>
  <c r="C34" i="14"/>
  <c r="F34" i="13"/>
  <c r="O58" i="12"/>
  <c r="Q34" i="13"/>
  <c r="N34" i="13"/>
  <c r="I34" i="13"/>
  <c r="C34" i="13"/>
  <c r="N61" i="10"/>
  <c r="O9" i="10"/>
  <c r="N33" i="12"/>
  <c r="Q33" i="12"/>
  <c r="F33" i="12"/>
  <c r="C33" i="12"/>
  <c r="I33" i="12"/>
  <c r="C38" i="10"/>
  <c r="Q38" i="10"/>
  <c r="N38" i="10"/>
  <c r="I38" i="10"/>
  <c r="F38" i="10"/>
  <c r="R24" i="9"/>
  <c r="N32" i="9"/>
  <c r="E33" i="9"/>
  <c r="H33" i="9"/>
  <c r="B33" i="9"/>
  <c r="B3" i="9"/>
  <c r="E39" i="7"/>
  <c r="B39" i="7"/>
  <c r="B3" i="7"/>
  <c r="E39" i="6"/>
  <c r="B39" i="6"/>
  <c r="B3" i="6"/>
  <c r="I6" i="5"/>
  <c r="E38" i="5"/>
  <c r="E23" i="4"/>
  <c r="B38" i="5"/>
  <c r="B3" i="5"/>
  <c r="B4" i="4"/>
  <c r="B23" i="4"/>
  <c r="B21" i="3"/>
  <c r="B3" i="3"/>
  <c r="E21" i="3"/>
  <c r="P37" i="12" l="1"/>
  <c r="L40" i="12" s="1"/>
  <c r="M24" i="18"/>
  <c r="C29" i="18"/>
  <c r="C14" i="18"/>
  <c r="P38" i="14"/>
  <c r="L41" i="14" s="1"/>
  <c r="D38" i="14"/>
  <c r="C41" i="14" s="1"/>
  <c r="P38" i="13"/>
  <c r="L41" i="13" s="1"/>
  <c r="D38" i="13"/>
  <c r="C41" i="13" s="1"/>
  <c r="E42" i="10"/>
  <c r="C45" i="10" s="1"/>
  <c r="D37" i="12"/>
  <c r="C40" i="12" s="1"/>
  <c r="J45" i="12" s="1"/>
  <c r="P42" i="10"/>
  <c r="K45" i="10" s="1"/>
  <c r="D37" i="9"/>
  <c r="B40" i="9" s="1"/>
  <c r="R27" i="9" s="1"/>
  <c r="D43" i="7"/>
  <c r="B46" i="7" s="1"/>
  <c r="D43" i="6"/>
  <c r="B46" i="6" s="1"/>
  <c r="D42" i="5"/>
  <c r="B45" i="5" s="1"/>
  <c r="D27" i="4"/>
  <c r="B30" i="4" s="1"/>
  <c r="D25" i="3"/>
  <c r="B28" i="3" s="1"/>
  <c r="J46" i="14" l="1"/>
  <c r="J46" i="13"/>
</calcChain>
</file>

<file path=xl/sharedStrings.xml><?xml version="1.0" encoding="utf-8"?>
<sst xmlns="http://schemas.openxmlformats.org/spreadsheetml/2006/main" count="1727" uniqueCount="455">
  <si>
    <t>Loyer</t>
  </si>
  <si>
    <t>Montant actuel</t>
  </si>
  <si>
    <t>Electricité</t>
  </si>
  <si>
    <t>PEL</t>
  </si>
  <si>
    <t>Mac</t>
  </si>
  <si>
    <t>Prêt</t>
  </si>
  <si>
    <t>Total</t>
  </si>
  <si>
    <t>Revenue</t>
  </si>
  <si>
    <t>Restant</t>
  </si>
  <si>
    <t>Avenir Fevrier</t>
  </si>
  <si>
    <t>Depense Mars</t>
  </si>
  <si>
    <t>mere</t>
  </si>
  <si>
    <t>jouet codou</t>
  </si>
  <si>
    <t>leader</t>
  </si>
  <si>
    <t>Yaba</t>
  </si>
  <si>
    <t>TOITAL</t>
  </si>
  <si>
    <t xml:space="preserve">mere </t>
  </si>
  <si>
    <t>Codou</t>
  </si>
  <si>
    <t>Revenue total</t>
  </si>
  <si>
    <t>Brico depot</t>
  </si>
  <si>
    <t>Leclecl</t>
  </si>
  <si>
    <t>parkink</t>
  </si>
  <si>
    <t>Parfun MK</t>
  </si>
  <si>
    <t>Avenir Mars</t>
  </si>
  <si>
    <t>Depense Avril</t>
  </si>
  <si>
    <t xml:space="preserve">amazon </t>
  </si>
  <si>
    <t xml:space="preserve">Matlas </t>
  </si>
  <si>
    <t>Ecole codou</t>
  </si>
  <si>
    <t>Lidl</t>
  </si>
  <si>
    <t>Depense surprise Mars</t>
  </si>
  <si>
    <t>location voiture</t>
  </si>
  <si>
    <t>Paypal</t>
  </si>
  <si>
    <t>Terrain</t>
  </si>
  <si>
    <t>amazon prim</t>
  </si>
  <si>
    <t xml:space="preserve">La poste </t>
  </si>
  <si>
    <t>Maleo</t>
  </si>
  <si>
    <t>Manty</t>
  </si>
  <si>
    <t>SFR</t>
  </si>
  <si>
    <t>Bnp taxe</t>
  </si>
  <si>
    <t>Esprit libvre 12</t>
  </si>
  <si>
    <t xml:space="preserve">Assurance Habitation </t>
  </si>
  <si>
    <t>Boursrama</t>
  </si>
  <si>
    <t>Essenxe</t>
  </si>
  <si>
    <t>Mr Bricolage</t>
  </si>
  <si>
    <t>Vovo</t>
  </si>
  <si>
    <t xml:space="preserve">Peage </t>
  </si>
  <si>
    <t>JJ</t>
  </si>
  <si>
    <t>edf</t>
  </si>
  <si>
    <t>SFR box</t>
  </si>
  <si>
    <t>SFRMobile</t>
  </si>
  <si>
    <t>mouton</t>
  </si>
  <si>
    <t>Ipone Vovo</t>
  </si>
  <si>
    <t>Carburant</t>
  </si>
  <si>
    <t xml:space="preserve">Tige </t>
  </si>
  <si>
    <t>anniversaire bb mory</t>
  </si>
  <si>
    <t>Dev</t>
  </si>
  <si>
    <t>Gora</t>
  </si>
  <si>
    <t>Cadeau codou</t>
  </si>
  <si>
    <t>course 1</t>
  </si>
  <si>
    <t>course 2</t>
  </si>
  <si>
    <t>Course 3</t>
  </si>
  <si>
    <t>Moutons</t>
  </si>
  <si>
    <t xml:space="preserve">iphone mere </t>
  </si>
  <si>
    <t xml:space="preserve">timbre </t>
  </si>
  <si>
    <t>pv</t>
  </si>
  <si>
    <t>Yaba GP</t>
  </si>
  <si>
    <t>Virement Codou</t>
  </si>
  <si>
    <t>Assurance voiture</t>
  </si>
  <si>
    <t>Virement Bashir</t>
  </si>
  <si>
    <t>Netflix</t>
  </si>
  <si>
    <t>VPN</t>
  </si>
  <si>
    <t>Apple misic</t>
  </si>
  <si>
    <t>Assurance habitation</t>
  </si>
  <si>
    <t>Navigo</t>
  </si>
  <si>
    <t>junior</t>
  </si>
  <si>
    <t xml:space="preserve">Avenir </t>
  </si>
  <si>
    <t>Depense Fixe</t>
  </si>
  <si>
    <t>Depense Variable</t>
  </si>
  <si>
    <t>Abdoulaye</t>
  </si>
  <si>
    <t xml:space="preserve">Mouton manty </t>
  </si>
  <si>
    <t>Fatoumata</t>
  </si>
  <si>
    <t>rebtel</t>
  </si>
  <si>
    <t>marc orian</t>
  </si>
  <si>
    <t>A venir juil</t>
  </si>
  <si>
    <t>prefecture</t>
  </si>
  <si>
    <t>Amazon</t>
  </si>
  <si>
    <t>Aliexpress</t>
  </si>
  <si>
    <t>Shine</t>
  </si>
  <si>
    <t>Castorama</t>
  </si>
  <si>
    <t>Kiabi</t>
  </si>
  <si>
    <t xml:space="preserve">Amazon </t>
  </si>
  <si>
    <t>Adji</t>
  </si>
  <si>
    <t>lidl</t>
  </si>
  <si>
    <t>Leclar</t>
  </si>
  <si>
    <t xml:space="preserve">trotinette </t>
  </si>
  <si>
    <t>lait</t>
  </si>
  <si>
    <t>uber</t>
  </si>
  <si>
    <t>encre</t>
  </si>
  <si>
    <t>sport</t>
  </si>
  <si>
    <t>Reste</t>
  </si>
  <si>
    <t>Mr bricolage</t>
  </si>
  <si>
    <t>amazon</t>
  </si>
  <si>
    <t>jardilande</t>
  </si>
  <si>
    <t>mangé</t>
  </si>
  <si>
    <t>action</t>
  </si>
  <si>
    <t>Matlas</t>
  </si>
  <si>
    <t>fer</t>
  </si>
  <si>
    <t>maillot</t>
  </si>
  <si>
    <t xml:space="preserve">voiture </t>
  </si>
  <si>
    <t>ebay</t>
  </si>
  <si>
    <t>mcdo</t>
  </si>
  <si>
    <t>animalis</t>
  </si>
  <si>
    <t>amazone</t>
  </si>
  <si>
    <t>Restant total</t>
  </si>
  <si>
    <t>impot</t>
  </si>
  <si>
    <t>Course</t>
  </si>
  <si>
    <t xml:space="preserve">Kiabi </t>
  </si>
  <si>
    <t>LA Hall</t>
  </si>
  <si>
    <t>Lunette</t>
  </si>
  <si>
    <t>MK</t>
  </si>
  <si>
    <t xml:space="preserve">Go sport </t>
  </si>
  <si>
    <t>Decouvert</t>
  </si>
  <si>
    <t>lait bachir</t>
  </si>
  <si>
    <t>Adama</t>
  </si>
  <si>
    <t>Alexx</t>
  </si>
  <si>
    <t>Kabab</t>
  </si>
  <si>
    <t xml:space="preserve">Voiture </t>
  </si>
  <si>
    <t>lavage voiture 1</t>
  </si>
  <si>
    <t xml:space="preserve">action </t>
  </si>
  <si>
    <t>course</t>
  </si>
  <si>
    <t>Decathlon</t>
  </si>
  <si>
    <t>kabab</t>
  </si>
  <si>
    <t>gra frais</t>
  </si>
  <si>
    <t>clavier</t>
  </si>
  <si>
    <t>macdo</t>
  </si>
  <si>
    <t>cheque</t>
  </si>
  <si>
    <t>viremement</t>
  </si>
  <si>
    <t>bits</t>
  </si>
  <si>
    <t xml:space="preserve">Bashir </t>
  </si>
  <si>
    <t xml:space="preserve">Assurance mobile </t>
  </si>
  <si>
    <t xml:space="preserve">retrait </t>
  </si>
  <si>
    <t>Primark</t>
  </si>
  <si>
    <t xml:space="preserve">Boucherie </t>
  </si>
  <si>
    <t xml:space="preserve">lait </t>
  </si>
  <si>
    <t>Timbre</t>
  </si>
  <si>
    <t xml:space="preserve">courses </t>
  </si>
  <si>
    <t>carburant</t>
  </si>
  <si>
    <t>elec depot</t>
  </si>
  <si>
    <t>leclec</t>
  </si>
  <si>
    <t>ali express</t>
  </si>
  <si>
    <t>lave auto</t>
  </si>
  <si>
    <t xml:space="preserve">creche bashir </t>
  </si>
  <si>
    <t>boxe</t>
  </si>
  <si>
    <t>repas</t>
  </si>
  <si>
    <t>Macoura</t>
  </si>
  <si>
    <t>Poids</t>
  </si>
  <si>
    <t>Prix unitaire</t>
  </si>
  <si>
    <t>nombre</t>
  </si>
  <si>
    <t>Racky</t>
  </si>
  <si>
    <t>Racky devis</t>
  </si>
  <si>
    <t>caisse poussin</t>
  </si>
  <si>
    <t>:</t>
  </si>
  <si>
    <t>Mk</t>
  </si>
  <si>
    <t>Terrain MK</t>
  </si>
  <si>
    <t>reste</t>
  </si>
  <si>
    <t>Terrain yaba</t>
  </si>
  <si>
    <t>Reste total</t>
  </si>
  <si>
    <t>,</t>
  </si>
  <si>
    <t xml:space="preserve">clé voiture </t>
  </si>
  <si>
    <t>dermato</t>
  </si>
  <si>
    <t>arret M</t>
  </si>
  <si>
    <t>ordonance</t>
  </si>
  <si>
    <t>extra repas</t>
  </si>
  <si>
    <t>sera remboursé</t>
  </si>
  <si>
    <t>argent mere</t>
  </si>
  <si>
    <t>total</t>
  </si>
  <si>
    <t>Eparge du mois de avril</t>
  </si>
  <si>
    <t>salaire</t>
  </si>
  <si>
    <t>tata oumou</t>
  </si>
  <si>
    <t xml:space="preserve">a la maison </t>
  </si>
  <si>
    <t>bricolage</t>
  </si>
  <si>
    <t>Depense</t>
  </si>
  <si>
    <t>western mere</t>
  </si>
  <si>
    <t>pour nous</t>
  </si>
  <si>
    <t>pout</t>
  </si>
  <si>
    <t>Déjà depensé</t>
  </si>
  <si>
    <t>avance poussin</t>
  </si>
  <si>
    <t>ria moussa</t>
  </si>
  <si>
    <t>western ngane</t>
  </si>
  <si>
    <t>Depense extra</t>
  </si>
  <si>
    <t>course lait</t>
  </si>
  <si>
    <t>courser ramadan</t>
  </si>
  <si>
    <t>ramadan</t>
  </si>
  <si>
    <t>avenir</t>
  </si>
  <si>
    <t>tontine senegal</t>
  </si>
  <si>
    <t>Ecole bashir</t>
  </si>
  <si>
    <t xml:space="preserve">bashir </t>
  </si>
  <si>
    <t>codou</t>
  </si>
  <si>
    <t>pel</t>
  </si>
  <si>
    <t>assurance auto</t>
  </si>
  <si>
    <t>netflix</t>
  </si>
  <si>
    <t>apple</t>
  </si>
  <si>
    <t>credit</t>
  </si>
  <si>
    <t>extrat</t>
  </si>
  <si>
    <t>Fatim</t>
  </si>
  <si>
    <t>Rifaye</t>
  </si>
  <si>
    <t>lit</t>
  </si>
  <si>
    <t>matlas</t>
  </si>
  <si>
    <t>tontine1</t>
  </si>
  <si>
    <t>tontine2</t>
  </si>
  <si>
    <t>pole emploi</t>
  </si>
  <si>
    <t>IK</t>
  </si>
  <si>
    <t>hotel</t>
  </si>
  <si>
    <t>hottel</t>
  </si>
  <si>
    <t>Pole emploi</t>
  </si>
  <si>
    <t>vire fifi</t>
  </si>
  <si>
    <t xml:space="preserve"> </t>
  </si>
  <si>
    <t>YG Consulting</t>
  </si>
  <si>
    <t>septembre</t>
  </si>
  <si>
    <t xml:space="preserve">aout </t>
  </si>
  <si>
    <t>juillet</t>
  </si>
  <si>
    <t>mai</t>
  </si>
  <si>
    <t>mars</t>
  </si>
  <si>
    <t>s</t>
  </si>
  <si>
    <t>octobre</t>
  </si>
  <si>
    <t>tontine</t>
  </si>
  <si>
    <t>Encaissé</t>
  </si>
  <si>
    <t>Deouvert</t>
  </si>
  <si>
    <t>Frere abdoul</t>
  </si>
  <si>
    <t xml:space="preserve">Forage </t>
  </si>
  <si>
    <t>papier kayar</t>
  </si>
  <si>
    <t>pneu</t>
  </si>
  <si>
    <t>rifaye</t>
  </si>
  <si>
    <t>novembre</t>
  </si>
  <si>
    <t>decembre</t>
  </si>
  <si>
    <t>fatim</t>
  </si>
  <si>
    <t>yaba</t>
  </si>
  <si>
    <t>idi</t>
  </si>
  <si>
    <t>opel</t>
  </si>
  <si>
    <t>kia</t>
  </si>
  <si>
    <t>janvier</t>
  </si>
  <si>
    <t>fevrier</t>
  </si>
  <si>
    <t>avril</t>
  </si>
  <si>
    <t>juin</t>
  </si>
  <si>
    <t>Devis Oumar</t>
  </si>
  <si>
    <t>Déjà recu</t>
  </si>
  <si>
    <t xml:space="preserve">Wave </t>
  </si>
  <si>
    <t xml:space="preserve">Depense </t>
  </si>
  <si>
    <t>5tone10sac</t>
  </si>
  <si>
    <t>Beton 6/8</t>
  </si>
  <si>
    <t>Avance Moleur</t>
  </si>
  <si>
    <t>Avance charrette</t>
  </si>
  <si>
    <t>Barigo avance</t>
  </si>
  <si>
    <t>Moleur reste</t>
  </si>
  <si>
    <t>Charrette este</t>
  </si>
  <si>
    <t>2 barigo</t>
  </si>
  <si>
    <t xml:space="preserve">Location chambre </t>
  </si>
  <si>
    <t>2 rouloeau tyau</t>
  </si>
  <si>
    <t xml:space="preserve">Total depense </t>
  </si>
  <si>
    <t>Avance Oumar</t>
  </si>
  <si>
    <t>Reste Theorique</t>
  </si>
  <si>
    <t>Reste reel</t>
  </si>
  <si>
    <t>Tuyau</t>
  </si>
  <si>
    <t>Ngane</t>
  </si>
  <si>
    <t>Brique Coulage</t>
  </si>
  <si>
    <t xml:space="preserve">Salon </t>
  </si>
  <si>
    <t xml:space="preserve">CHAMBRE 1 </t>
  </si>
  <si>
    <t>SDB1</t>
  </si>
  <si>
    <t>CHAMBRE 2</t>
  </si>
  <si>
    <t>GARAGE</t>
  </si>
  <si>
    <t xml:space="preserve">cuisine </t>
  </si>
  <si>
    <t>sdb2</t>
  </si>
  <si>
    <t>tontinefrance</t>
  </si>
  <si>
    <t>avance omar</t>
  </si>
  <si>
    <t xml:space="preserve">avance omar </t>
  </si>
  <si>
    <t>beton 5/15</t>
  </si>
  <si>
    <t>rouleau fil</t>
  </si>
  <si>
    <t>pointes</t>
  </si>
  <si>
    <t>wave</t>
  </si>
  <si>
    <t>versement usaff</t>
  </si>
  <si>
    <t>monatnt net amoi</t>
  </si>
  <si>
    <t>Montant HT</t>
  </si>
  <si>
    <t>Montant recu</t>
  </si>
  <si>
    <t>TVA pout l'etat</t>
  </si>
  <si>
    <t>NOVO</t>
  </si>
  <si>
    <t>ML industrie</t>
  </si>
  <si>
    <t>niang</t>
  </si>
  <si>
    <t>cim+briq+charet</t>
  </si>
  <si>
    <t>devis coulage</t>
  </si>
  <si>
    <t xml:space="preserve">4 tonne cimment </t>
  </si>
  <si>
    <t>beton 6/8 12m3</t>
  </si>
  <si>
    <t>beton 5/1516m3</t>
  </si>
  <si>
    <t>fer a beton 1T300</t>
  </si>
  <si>
    <t xml:space="preserve">5 tonne cimment </t>
  </si>
  <si>
    <t>point</t>
  </si>
  <si>
    <t xml:space="preserve">fil de fer </t>
  </si>
  <si>
    <t>main brique</t>
  </si>
  <si>
    <t>main macon</t>
  </si>
  <si>
    <t>1 tonne 10 sac</t>
  </si>
  <si>
    <t>2 tonne</t>
  </si>
  <si>
    <t xml:space="preserve">Total </t>
  </si>
  <si>
    <t>omar</t>
  </si>
  <si>
    <t xml:space="preserve">omar </t>
  </si>
  <si>
    <t>Niang</t>
  </si>
  <si>
    <t xml:space="preserve">virement </t>
  </si>
  <si>
    <t>2 tonne cimment</t>
  </si>
  <si>
    <t>fils de fer</t>
  </si>
  <si>
    <t xml:space="preserve">Main d'oeuvre </t>
  </si>
  <si>
    <t>fifi</t>
  </si>
  <si>
    <t>Fevrier</t>
  </si>
  <si>
    <t>Mars</t>
  </si>
  <si>
    <t>Total Fevrier</t>
  </si>
  <si>
    <t>Total Mars</t>
  </si>
  <si>
    <t>cotisation effectuée</t>
  </si>
  <si>
    <t>cotisation non effectuée</t>
  </si>
  <si>
    <t>MARS</t>
  </si>
  <si>
    <t>mere thiam</t>
  </si>
  <si>
    <t xml:space="preserve">Tanti bb </t>
  </si>
  <si>
    <t>fifi senegal</t>
  </si>
  <si>
    <t xml:space="preserve">Niang </t>
  </si>
  <si>
    <t>coulage reste et escalier</t>
  </si>
  <si>
    <t>cavance main</t>
  </si>
  <si>
    <t>virement</t>
  </si>
  <si>
    <t xml:space="preserve">tontine </t>
  </si>
  <si>
    <t>6T Ciment</t>
  </si>
  <si>
    <t>24M3 betob 6/8</t>
  </si>
  <si>
    <t>Charrette</t>
  </si>
  <si>
    <t xml:space="preserve">Main Doeuvre </t>
  </si>
  <si>
    <t>Materiel brique elevation 1er etage</t>
  </si>
  <si>
    <t xml:space="preserve">Devis </t>
  </si>
  <si>
    <t>Déjà donné</t>
  </si>
  <si>
    <t xml:space="preserve">Elevation </t>
  </si>
  <si>
    <t>Avance Main d'œuvre</t>
  </si>
  <si>
    <t>fil de fer</t>
  </si>
  <si>
    <t xml:space="preserve">2 tonne ciment </t>
  </si>
  <si>
    <t>Pointe</t>
  </si>
  <si>
    <t>1 tonne Fer</t>
  </si>
  <si>
    <t>EAU</t>
  </si>
  <si>
    <t>reparation pompe</t>
  </si>
  <si>
    <t xml:space="preserve">Vendredi </t>
  </si>
  <si>
    <t>Mardi</t>
  </si>
  <si>
    <t xml:space="preserve">Jeudi </t>
  </si>
  <si>
    <t xml:space="preserve">Jour </t>
  </si>
  <si>
    <t xml:space="preserve">date </t>
  </si>
  <si>
    <t>duree</t>
  </si>
  <si>
    <t>lundi</t>
  </si>
  <si>
    <t xml:space="preserve">Relecture Dossier technique </t>
  </si>
  <si>
    <t>Reunion Teams</t>
  </si>
  <si>
    <t>Correction Programme Configuration RS485</t>
  </si>
  <si>
    <t xml:space="preserve">Action realisée </t>
  </si>
  <si>
    <t xml:space="preserve">Laurence </t>
  </si>
  <si>
    <t>Laurine</t>
  </si>
  <si>
    <t>demazieres</t>
  </si>
  <si>
    <t>Souvenbrie</t>
  </si>
  <si>
    <t xml:space="preserve">Finition elevation </t>
  </si>
  <si>
    <t>Peage</t>
  </si>
  <si>
    <t>tontne</t>
  </si>
  <si>
    <t>Hotel S1</t>
  </si>
  <si>
    <t>Hotel S2</t>
  </si>
  <si>
    <t>Hotel S3</t>
  </si>
  <si>
    <t>HotelS4</t>
  </si>
  <si>
    <t>AOUT</t>
  </si>
  <si>
    <t>Total AOUT</t>
  </si>
  <si>
    <t xml:space="preserve">PV </t>
  </si>
  <si>
    <t>Reparation opel : 500</t>
  </si>
  <si>
    <t>Main d'œuvre oumar : 800</t>
  </si>
  <si>
    <t>Extrat pour moi : 200</t>
  </si>
  <si>
    <t>Mballou : 2000</t>
  </si>
  <si>
    <t>Disney 100</t>
  </si>
  <si>
    <t>Primark 67</t>
  </si>
  <si>
    <t>Mame 50</t>
  </si>
  <si>
    <t>Fete de loge 70</t>
  </si>
  <si>
    <t>Awa racky 300</t>
  </si>
  <si>
    <t>Amazon et course</t>
  </si>
  <si>
    <t>retrait</t>
  </si>
  <si>
    <t>retarit nounou</t>
  </si>
  <si>
    <t>kiabi</t>
  </si>
  <si>
    <t>RETRAIT</t>
  </si>
  <si>
    <t>BURGER</t>
  </si>
  <si>
    <t>IPTV</t>
  </si>
  <si>
    <t>AMAZON</t>
  </si>
  <si>
    <t>HOUSE CANAPE</t>
  </si>
  <si>
    <t>TOTAL</t>
  </si>
  <si>
    <t>TEMU</t>
  </si>
  <si>
    <t>temu</t>
  </si>
  <si>
    <t>Kebab</t>
  </si>
  <si>
    <t>depnase</t>
  </si>
  <si>
    <t>Koné</t>
  </si>
  <si>
    <t>tontine France</t>
  </si>
  <si>
    <t>hotl</t>
  </si>
  <si>
    <t>Ecole</t>
  </si>
  <si>
    <t>FIFI</t>
  </si>
  <si>
    <t>Rep voiture</t>
  </si>
  <si>
    <t>Nov</t>
  </si>
  <si>
    <t>elha</t>
  </si>
  <si>
    <t>voyage</t>
  </si>
  <si>
    <t>Finition maison Kayar</t>
  </si>
  <si>
    <t>Fosse</t>
  </si>
  <si>
    <t>Plombreie</t>
  </si>
  <si>
    <t>Lissage</t>
  </si>
  <si>
    <t xml:space="preserve">Porte </t>
  </si>
  <si>
    <t>Main d'ouvre</t>
  </si>
  <si>
    <t>Materiel</t>
  </si>
  <si>
    <t>vovo</t>
  </si>
  <si>
    <t>Avoir Niang</t>
  </si>
  <si>
    <t>Avance plombier</t>
  </si>
  <si>
    <t>Avant fosse</t>
  </si>
  <si>
    <t>Matos Plomberie</t>
  </si>
  <si>
    <t>Matos Fosse</t>
  </si>
  <si>
    <t>Main d œuvre fosse</t>
  </si>
  <si>
    <t>Main doevre Plom</t>
  </si>
  <si>
    <t>Devis</t>
  </si>
  <si>
    <t>Matos bique</t>
  </si>
  <si>
    <t>Déjà reglé</t>
  </si>
  <si>
    <t>Porte</t>
  </si>
  <si>
    <t>imprevu</t>
  </si>
  <si>
    <t>Planche lissage</t>
  </si>
  <si>
    <t>Budget</t>
  </si>
  <si>
    <t>dec</t>
  </si>
  <si>
    <t>jan</t>
  </si>
  <si>
    <t>Toyal</t>
  </si>
  <si>
    <t>en euro</t>
  </si>
  <si>
    <t>lissage Main d œuvre</t>
  </si>
  <si>
    <t>Matos lissage</t>
  </si>
  <si>
    <t>malet retrait</t>
  </si>
  <si>
    <t>towed</t>
  </si>
  <si>
    <t>voiture</t>
  </si>
  <si>
    <t>avirl</t>
  </si>
  <si>
    <t>CANAPé</t>
  </si>
  <si>
    <t>resto</t>
  </si>
  <si>
    <t>turk</t>
  </si>
  <si>
    <t>electricité</t>
  </si>
  <si>
    <t>metalique</t>
  </si>
  <si>
    <t>divers</t>
  </si>
  <si>
    <t>Carreau Matos</t>
  </si>
  <si>
    <t>Main d'œuvre carreau</t>
  </si>
  <si>
    <t>forage</t>
  </si>
  <si>
    <t>Chambre 1</t>
  </si>
  <si>
    <t>Chambre 2</t>
  </si>
  <si>
    <t>Salon</t>
  </si>
  <si>
    <t>Couloir</t>
  </si>
  <si>
    <t>Garage</t>
  </si>
  <si>
    <t>devant salon</t>
  </si>
  <si>
    <t>patio 1</t>
  </si>
  <si>
    <t>patio 2</t>
  </si>
  <si>
    <t>Carreau Sol</t>
  </si>
  <si>
    <t>Carreau Toilet Sol</t>
  </si>
  <si>
    <t>Toilette 1</t>
  </si>
  <si>
    <t>Tolette 2</t>
  </si>
  <si>
    <t xml:space="preserve">Carrau Facade </t>
  </si>
  <si>
    <t>toilette 1</t>
  </si>
  <si>
    <t>toilette 2</t>
  </si>
  <si>
    <t xml:space="preserve">Cuisisne </t>
  </si>
  <si>
    <t>Carreau cuisine sol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</si>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</sst>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42424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2" fillId="0" borderId="0" xfId="0" applyFont="1"/>
    <xf numFmtId="0" fontId="2" fillId="7" borderId="0" xfId="0" applyFont="1" applyFill="1"/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2" fillId="9" borderId="0" xfId="0" applyFont="1" applyFill="1"/>
    <xf numFmtId="0" fontId="3" fillId="9" borderId="0" xfId="0" applyFont="1" applyFill="1"/>
    <xf numFmtId="0" fontId="0" fillId="0" borderId="0" xfId="0" applyAlignment="1">
      <alignment horizontal="right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4" fontId="0" fillId="0" borderId="0" xfId="0" applyNumberFormat="1"/>
    <xf numFmtId="0" fontId="4" fillId="0" borderId="0" xfId="0" applyFont="1"/>
    <xf numFmtId="0" fontId="0" fillId="4" borderId="1" xfId="0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D2EE-B1EB-2943-B6D7-5E671889471A}">
  <dimension ref="A1:E28"/>
  <sheetViews>
    <sheetView workbookViewId="0">
      <selection activeCell="F28" sqref="F28"/>
    </sheetView>
  </sheetViews>
  <sheetFormatPr baseColWidth="10" defaultRowHeight="15.75" x14ac:dyDescent="0.25"/>
  <cols>
    <col min="1" max="1" width="13.625" bestFit="1" customWidth="1"/>
    <col min="5" max="5" width="12.625" bestFit="1" customWidth="1"/>
    <col min="11" max="11" width="13.625" bestFit="1" customWidth="1"/>
  </cols>
  <sheetData>
    <row r="1" spans="1:5" x14ac:dyDescent="0.25">
      <c r="A1" s="2" t="s">
        <v>1</v>
      </c>
      <c r="B1">
        <v>375</v>
      </c>
    </row>
    <row r="2" spans="1:5" x14ac:dyDescent="0.25">
      <c r="A2" s="2" t="s">
        <v>7</v>
      </c>
      <c r="B2">
        <v>3000</v>
      </c>
    </row>
    <row r="3" spans="1:5" x14ac:dyDescent="0.25">
      <c r="A3" s="2" t="s">
        <v>18</v>
      </c>
      <c r="B3">
        <f>B1+B2</f>
        <v>3375</v>
      </c>
    </row>
    <row r="4" spans="1:5" x14ac:dyDescent="0.25">
      <c r="A4" s="1"/>
    </row>
    <row r="5" spans="1:5" x14ac:dyDescent="0.25">
      <c r="A5" s="1"/>
    </row>
    <row r="7" spans="1:5" x14ac:dyDescent="0.25">
      <c r="A7" s="2" t="s">
        <v>9</v>
      </c>
      <c r="B7" s="3"/>
      <c r="C7" s="3"/>
      <c r="D7" s="3"/>
      <c r="E7" s="2" t="s">
        <v>10</v>
      </c>
    </row>
    <row r="8" spans="1:5" x14ac:dyDescent="0.25">
      <c r="A8" s="1" t="s">
        <v>11</v>
      </c>
      <c r="B8">
        <v>40</v>
      </c>
      <c r="D8" s="1" t="s">
        <v>0</v>
      </c>
      <c r="E8">
        <v>730</v>
      </c>
    </row>
    <row r="9" spans="1:5" x14ac:dyDescent="0.25">
      <c r="A9" s="1" t="s">
        <v>11</v>
      </c>
      <c r="B9">
        <v>313</v>
      </c>
      <c r="D9" s="1" t="s">
        <v>3</v>
      </c>
      <c r="E9">
        <v>100</v>
      </c>
    </row>
    <row r="10" spans="1:5" x14ac:dyDescent="0.25">
      <c r="A10" s="1" t="s">
        <v>12</v>
      </c>
      <c r="B10">
        <v>17.989999999999998</v>
      </c>
      <c r="D10" s="1" t="s">
        <v>4</v>
      </c>
      <c r="E10">
        <v>96</v>
      </c>
    </row>
    <row r="11" spans="1:5" x14ac:dyDescent="0.25">
      <c r="A11" s="1" t="s">
        <v>13</v>
      </c>
      <c r="B11">
        <v>2.7</v>
      </c>
      <c r="D11" s="1" t="s">
        <v>14</v>
      </c>
      <c r="E11">
        <v>500</v>
      </c>
    </row>
    <row r="12" spans="1:5" x14ac:dyDescent="0.25">
      <c r="A12" s="1" t="s">
        <v>2</v>
      </c>
      <c r="B12">
        <v>120</v>
      </c>
      <c r="D12" s="1" t="s">
        <v>2</v>
      </c>
      <c r="E12">
        <v>120</v>
      </c>
    </row>
    <row r="13" spans="1:5" x14ac:dyDescent="0.25">
      <c r="A13" s="1" t="s">
        <v>17</v>
      </c>
      <c r="B13">
        <v>105.57</v>
      </c>
      <c r="D13" s="1" t="s">
        <v>16</v>
      </c>
      <c r="E13">
        <v>260</v>
      </c>
    </row>
    <row r="14" spans="1:5" x14ac:dyDescent="0.25">
      <c r="A14" s="1" t="s">
        <v>19</v>
      </c>
      <c r="B14">
        <v>21.63</v>
      </c>
      <c r="D14" s="1" t="s">
        <v>5</v>
      </c>
      <c r="E14">
        <v>515</v>
      </c>
    </row>
    <row r="15" spans="1:5" x14ac:dyDescent="0.25">
      <c r="A15" s="1" t="s">
        <v>20</v>
      </c>
      <c r="B15">
        <v>15.54</v>
      </c>
      <c r="D15" s="1" t="s">
        <v>21</v>
      </c>
      <c r="E15">
        <v>126</v>
      </c>
    </row>
    <row r="16" spans="1:5" x14ac:dyDescent="0.25">
      <c r="A16" s="1" t="s">
        <v>22</v>
      </c>
      <c r="B16">
        <v>282</v>
      </c>
      <c r="D16" s="1"/>
    </row>
    <row r="17" spans="1:5" x14ac:dyDescent="0.25">
      <c r="A17" s="1" t="s">
        <v>25</v>
      </c>
      <c r="B17">
        <v>33</v>
      </c>
      <c r="D17" s="1"/>
    </row>
    <row r="18" spans="1:5" x14ac:dyDescent="0.25">
      <c r="A18" s="1" t="s">
        <v>26</v>
      </c>
      <c r="B18">
        <v>47.75</v>
      </c>
      <c r="D18" s="1"/>
    </row>
    <row r="21" spans="1:5" x14ac:dyDescent="0.25">
      <c r="A21" s="3" t="s">
        <v>6</v>
      </c>
      <c r="B21" s="4">
        <f>SUM(B8:B20)</f>
        <v>999.18</v>
      </c>
      <c r="C21" s="4"/>
      <c r="D21" s="4"/>
      <c r="E21" s="4">
        <f>SUM(E8:E20)</f>
        <v>2447</v>
      </c>
    </row>
    <row r="25" spans="1:5" x14ac:dyDescent="0.25">
      <c r="B25" t="s">
        <v>15</v>
      </c>
      <c r="D25" s="6">
        <f>B21+E21</f>
        <v>3446.18</v>
      </c>
    </row>
    <row r="28" spans="1:5" x14ac:dyDescent="0.25">
      <c r="A28" s="3" t="s">
        <v>8</v>
      </c>
      <c r="B28" s="5">
        <f>B3-D25</f>
        <v>-71.179999999999836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1B26-1A53-D443-8E7B-5E176AAFF40A}">
  <dimension ref="A1:X30"/>
  <sheetViews>
    <sheetView workbookViewId="0">
      <selection activeCell="D16" sqref="D16"/>
    </sheetView>
  </sheetViews>
  <sheetFormatPr baseColWidth="10" defaultRowHeight="15.75" x14ac:dyDescent="0.25"/>
  <cols>
    <col min="1" max="1" width="14" bestFit="1" customWidth="1"/>
    <col min="5" max="5" width="13" bestFit="1" customWidth="1"/>
    <col min="7" max="7" width="20" bestFit="1" customWidth="1"/>
  </cols>
  <sheetData>
    <row r="1" spans="1:7" x14ac:dyDescent="0.25">
      <c r="A1" s="2" t="s">
        <v>1</v>
      </c>
    </row>
    <row r="2" spans="1:7" x14ac:dyDescent="0.25">
      <c r="A2" s="2" t="s">
        <v>1</v>
      </c>
      <c r="B2">
        <v>0</v>
      </c>
    </row>
    <row r="3" spans="1:7" x14ac:dyDescent="0.25">
      <c r="A3" s="2" t="s">
        <v>7</v>
      </c>
      <c r="B3">
        <v>3000</v>
      </c>
    </row>
    <row r="4" spans="1:7" x14ac:dyDescent="0.25">
      <c r="A4" s="2" t="s">
        <v>18</v>
      </c>
      <c r="B4">
        <f>B2+B3</f>
        <v>3000</v>
      </c>
    </row>
    <row r="5" spans="1:7" x14ac:dyDescent="0.25">
      <c r="A5" s="1"/>
    </row>
    <row r="7" spans="1:7" x14ac:dyDescent="0.25">
      <c r="A7" s="2" t="s">
        <v>23</v>
      </c>
      <c r="B7" s="3"/>
      <c r="C7" s="3"/>
      <c r="D7" s="3"/>
      <c r="E7" s="2" t="s">
        <v>24</v>
      </c>
      <c r="G7" t="s">
        <v>29</v>
      </c>
    </row>
    <row r="8" spans="1:7" x14ac:dyDescent="0.25">
      <c r="A8" s="1" t="s">
        <v>26</v>
      </c>
      <c r="B8">
        <v>47.75</v>
      </c>
      <c r="D8" s="1" t="s">
        <v>0</v>
      </c>
      <c r="E8">
        <v>882</v>
      </c>
    </row>
    <row r="9" spans="1:7" x14ac:dyDescent="0.25">
      <c r="A9" s="1" t="s">
        <v>27</v>
      </c>
      <c r="B9">
        <v>0</v>
      </c>
      <c r="D9" s="1" t="s">
        <v>3</v>
      </c>
      <c r="E9">
        <v>100</v>
      </c>
    </row>
    <row r="10" spans="1:7" x14ac:dyDescent="0.25">
      <c r="A10" s="1" t="s">
        <v>19</v>
      </c>
      <c r="B10">
        <v>30.2</v>
      </c>
      <c r="D10" s="1" t="s">
        <v>4</v>
      </c>
      <c r="E10">
        <v>96</v>
      </c>
    </row>
    <row r="11" spans="1:7" x14ac:dyDescent="0.25">
      <c r="A11" s="1" t="s">
        <v>19</v>
      </c>
      <c r="B11">
        <v>37.75</v>
      </c>
      <c r="D11" s="1" t="s">
        <v>14</v>
      </c>
      <c r="E11">
        <v>500</v>
      </c>
    </row>
    <row r="12" spans="1:7" x14ac:dyDescent="0.25">
      <c r="A12" s="1" t="s">
        <v>28</v>
      </c>
      <c r="B12">
        <v>109.96</v>
      </c>
      <c r="D12" s="1" t="s">
        <v>2</v>
      </c>
      <c r="E12">
        <v>126</v>
      </c>
    </row>
    <row r="13" spans="1:7" x14ac:dyDescent="0.25">
      <c r="A13" s="1" t="s">
        <v>30</v>
      </c>
      <c r="B13">
        <v>70</v>
      </c>
      <c r="D13" s="1" t="s">
        <v>16</v>
      </c>
      <c r="E13">
        <v>260</v>
      </c>
    </row>
    <row r="14" spans="1:7" x14ac:dyDescent="0.25">
      <c r="A14" s="1" t="s">
        <v>31</v>
      </c>
      <c r="B14">
        <v>32.880000000000003</v>
      </c>
      <c r="D14" s="1" t="s">
        <v>5</v>
      </c>
      <c r="E14">
        <v>515</v>
      </c>
    </row>
    <row r="15" spans="1:7" x14ac:dyDescent="0.25">
      <c r="A15" s="1" t="s">
        <v>19</v>
      </c>
      <c r="B15">
        <v>51.9</v>
      </c>
      <c r="D15" s="1" t="s">
        <v>21</v>
      </c>
      <c r="E15">
        <v>72</v>
      </c>
    </row>
    <row r="16" spans="1:7" x14ac:dyDescent="0.25">
      <c r="A16" s="1" t="s">
        <v>32</v>
      </c>
      <c r="B16">
        <v>1116.78</v>
      </c>
      <c r="D16" s="1"/>
    </row>
    <row r="17" spans="1:24" x14ac:dyDescent="0.25">
      <c r="A17" s="1" t="s">
        <v>33</v>
      </c>
      <c r="B17">
        <v>5.99</v>
      </c>
      <c r="D17" s="1"/>
    </row>
    <row r="18" spans="1:24" x14ac:dyDescent="0.25">
      <c r="A18" s="1" t="s">
        <v>34</v>
      </c>
      <c r="B18">
        <v>36.200000000000003</v>
      </c>
      <c r="D18" s="1"/>
    </row>
    <row r="19" spans="1:24" x14ac:dyDescent="0.25">
      <c r="A19" s="1" t="s">
        <v>35</v>
      </c>
      <c r="B19">
        <v>16</v>
      </c>
    </row>
    <row r="20" spans="1:24" x14ac:dyDescent="0.25">
      <c r="A20" s="1"/>
    </row>
    <row r="21" spans="1:24" x14ac:dyDescent="0.25">
      <c r="A21" s="1"/>
    </row>
    <row r="23" spans="1:24" x14ac:dyDescent="0.25">
      <c r="A23" t="s">
        <v>6</v>
      </c>
      <c r="B23">
        <f>SUM(B8:B22)</f>
        <v>1555.4099999999999</v>
      </c>
      <c r="E23">
        <f>SUM(E8:E22)+X30</f>
        <v>2601</v>
      </c>
    </row>
    <row r="27" spans="1:24" x14ac:dyDescent="0.25">
      <c r="B27" t="s">
        <v>15</v>
      </c>
      <c r="D27">
        <f>B23+E23</f>
        <v>4156.41</v>
      </c>
    </row>
    <row r="30" spans="1:24" x14ac:dyDescent="0.25">
      <c r="A30" t="s">
        <v>8</v>
      </c>
      <c r="B30">
        <f>B4-D27</f>
        <v>-1156.4099999999999</v>
      </c>
      <c r="X30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A2EE-7EE1-B34A-BE97-6A06247A67EA}">
  <dimension ref="A1:I49"/>
  <sheetViews>
    <sheetView topLeftCell="A12" zoomScale="89" workbookViewId="0">
      <selection activeCell="G33" sqref="G33"/>
    </sheetView>
  </sheetViews>
  <sheetFormatPr baseColWidth="10" defaultRowHeight="15.75" x14ac:dyDescent="0.25"/>
  <cols>
    <col min="1" max="1" width="13.625" bestFit="1" customWidth="1"/>
    <col min="4" max="4" width="19.125" bestFit="1" customWidth="1"/>
    <col min="5" max="5" width="13.5" bestFit="1" customWidth="1"/>
  </cols>
  <sheetData>
    <row r="1" spans="1:9" x14ac:dyDescent="0.25">
      <c r="A1" s="2" t="s">
        <v>1</v>
      </c>
      <c r="B1">
        <v>1000</v>
      </c>
    </row>
    <row r="2" spans="1:9" x14ac:dyDescent="0.25">
      <c r="A2" s="2" t="s">
        <v>7</v>
      </c>
      <c r="B2">
        <v>3000</v>
      </c>
    </row>
    <row r="3" spans="1:9" x14ac:dyDescent="0.25">
      <c r="A3" s="2" t="s">
        <v>18</v>
      </c>
      <c r="B3">
        <f>B1+B2</f>
        <v>4000</v>
      </c>
    </row>
    <row r="4" spans="1:9" x14ac:dyDescent="0.25">
      <c r="A4" s="1"/>
    </row>
    <row r="6" spans="1:9" x14ac:dyDescent="0.25">
      <c r="A6" s="2" t="s">
        <v>23</v>
      </c>
      <c r="B6" s="3"/>
      <c r="C6" s="3"/>
      <c r="D6" s="3"/>
      <c r="E6" s="2" t="s">
        <v>24</v>
      </c>
      <c r="H6" t="s">
        <v>41</v>
      </c>
      <c r="I6">
        <f>E7+E9+E11+E12+E14+E15+E19+50+E25</f>
        <v>1561</v>
      </c>
    </row>
    <row r="7" spans="1:9" x14ac:dyDescent="0.25">
      <c r="A7" s="1"/>
      <c r="D7" s="1" t="s">
        <v>0</v>
      </c>
      <c r="E7">
        <v>882</v>
      </c>
    </row>
    <row r="8" spans="1:9" x14ac:dyDescent="0.25">
      <c r="A8" s="1"/>
      <c r="D8" s="1" t="s">
        <v>3</v>
      </c>
      <c r="E8">
        <v>100</v>
      </c>
    </row>
    <row r="9" spans="1:9" x14ac:dyDescent="0.25">
      <c r="A9" s="1"/>
      <c r="D9" s="1" t="s">
        <v>4</v>
      </c>
      <c r="E9">
        <v>96</v>
      </c>
    </row>
    <row r="10" spans="1:9" x14ac:dyDescent="0.25">
      <c r="A10" s="1"/>
      <c r="D10" s="1" t="s">
        <v>14</v>
      </c>
      <c r="E10">
        <v>500</v>
      </c>
    </row>
    <row r="11" spans="1:9" x14ac:dyDescent="0.25">
      <c r="A11" s="1"/>
      <c r="D11" s="1" t="s">
        <v>2</v>
      </c>
      <c r="E11">
        <v>126</v>
      </c>
    </row>
    <row r="12" spans="1:9" x14ac:dyDescent="0.25">
      <c r="A12" s="1"/>
      <c r="D12" s="1" t="s">
        <v>16</v>
      </c>
      <c r="E12">
        <v>260</v>
      </c>
    </row>
    <row r="13" spans="1:9" x14ac:dyDescent="0.25">
      <c r="A13" s="1"/>
      <c r="D13" s="1" t="s">
        <v>5</v>
      </c>
      <c r="E13">
        <v>515</v>
      </c>
    </row>
    <row r="14" spans="1:9" x14ac:dyDescent="0.25">
      <c r="A14" s="1"/>
      <c r="D14" s="1" t="s">
        <v>21</v>
      </c>
      <c r="E14">
        <v>72</v>
      </c>
    </row>
    <row r="15" spans="1:9" x14ac:dyDescent="0.25">
      <c r="A15" s="1"/>
      <c r="D15" s="1" t="s">
        <v>37</v>
      </c>
      <c r="E15">
        <v>49</v>
      </c>
    </row>
    <row r="16" spans="1:9" x14ac:dyDescent="0.25">
      <c r="A16" s="1"/>
      <c r="D16" s="1" t="s">
        <v>36</v>
      </c>
      <c r="E16">
        <v>100</v>
      </c>
    </row>
    <row r="17" spans="1:5" x14ac:dyDescent="0.25">
      <c r="A17" s="1"/>
      <c r="D17" s="1" t="s">
        <v>38</v>
      </c>
      <c r="E17">
        <v>24</v>
      </c>
    </row>
    <row r="18" spans="1:5" x14ac:dyDescent="0.25">
      <c r="A18" s="1"/>
      <c r="D18" s="1" t="s">
        <v>39</v>
      </c>
      <c r="E18">
        <v>12</v>
      </c>
    </row>
    <row r="19" spans="1:5" x14ac:dyDescent="0.25">
      <c r="A19" s="1"/>
      <c r="D19" s="1" t="s">
        <v>40</v>
      </c>
      <c r="E19">
        <v>10</v>
      </c>
    </row>
    <row r="20" spans="1:5" x14ac:dyDescent="0.25">
      <c r="A20" s="1"/>
      <c r="D20" s="1" t="s">
        <v>42</v>
      </c>
      <c r="E20">
        <v>60</v>
      </c>
    </row>
    <row r="21" spans="1:5" x14ac:dyDescent="0.25">
      <c r="A21" s="1"/>
      <c r="D21" s="1" t="s">
        <v>43</v>
      </c>
      <c r="E21">
        <v>7</v>
      </c>
    </row>
    <row r="22" spans="1:5" x14ac:dyDescent="0.25">
      <c r="A22" s="1"/>
      <c r="D22" s="1" t="s">
        <v>43</v>
      </c>
      <c r="E22">
        <v>6</v>
      </c>
    </row>
    <row r="23" spans="1:5" x14ac:dyDescent="0.25">
      <c r="A23" s="1"/>
      <c r="D23" s="1" t="s">
        <v>44</v>
      </c>
      <c r="E23">
        <v>50</v>
      </c>
    </row>
    <row r="24" spans="1:5" x14ac:dyDescent="0.25">
      <c r="D24" s="1" t="s">
        <v>45</v>
      </c>
      <c r="E24">
        <v>8</v>
      </c>
    </row>
    <row r="25" spans="1:5" ht="15" customHeight="1" x14ac:dyDescent="0.25">
      <c r="D25" s="1" t="s">
        <v>37</v>
      </c>
      <c r="E25">
        <v>16</v>
      </c>
    </row>
    <row r="26" spans="1:5" ht="15" customHeight="1" x14ac:dyDescent="0.25">
      <c r="D26" s="1" t="s">
        <v>16</v>
      </c>
      <c r="E26">
        <v>75</v>
      </c>
    </row>
    <row r="27" spans="1:5" x14ac:dyDescent="0.25">
      <c r="D27" s="1" t="s">
        <v>36</v>
      </c>
      <c r="E27">
        <v>100</v>
      </c>
    </row>
    <row r="28" spans="1:5" x14ac:dyDescent="0.25">
      <c r="D28" s="1" t="s">
        <v>46</v>
      </c>
      <c r="E28">
        <v>19</v>
      </c>
    </row>
    <row r="29" spans="1:5" x14ac:dyDescent="0.25">
      <c r="D29" s="1" t="s">
        <v>47</v>
      </c>
      <c r="E29">
        <v>67</v>
      </c>
    </row>
    <row r="30" spans="1:5" x14ac:dyDescent="0.25">
      <c r="D30" s="1" t="s">
        <v>27</v>
      </c>
      <c r="E30">
        <v>149</v>
      </c>
    </row>
    <row r="31" spans="1:5" x14ac:dyDescent="0.25">
      <c r="D31" s="1" t="s">
        <v>27</v>
      </c>
      <c r="E31">
        <v>24</v>
      </c>
    </row>
    <row r="32" spans="1:5" x14ac:dyDescent="0.25">
      <c r="D32" s="1" t="s">
        <v>54</v>
      </c>
      <c r="E32">
        <v>40</v>
      </c>
    </row>
    <row r="33" spans="1:5" x14ac:dyDescent="0.25">
      <c r="D33" s="1" t="s">
        <v>50</v>
      </c>
      <c r="E33">
        <v>387</v>
      </c>
    </row>
    <row r="34" spans="1:5" x14ac:dyDescent="0.25">
      <c r="D34" s="1"/>
    </row>
    <row r="35" spans="1:5" x14ac:dyDescent="0.25">
      <c r="D35" s="1"/>
    </row>
    <row r="36" spans="1:5" x14ac:dyDescent="0.25">
      <c r="D36" s="1"/>
    </row>
    <row r="38" spans="1:5" x14ac:dyDescent="0.25">
      <c r="A38" s="2" t="s">
        <v>6</v>
      </c>
      <c r="B38">
        <f>SUM(B7:B37)</f>
        <v>0</v>
      </c>
      <c r="E38">
        <f>SUM(E7:E37) +100</f>
        <v>3854</v>
      </c>
    </row>
    <row r="42" spans="1:5" x14ac:dyDescent="0.25">
      <c r="B42" s="2" t="s">
        <v>15</v>
      </c>
      <c r="D42">
        <f>B38+E38</f>
        <v>3854</v>
      </c>
    </row>
    <row r="45" spans="1:5" x14ac:dyDescent="0.25">
      <c r="A45" s="2" t="s">
        <v>8</v>
      </c>
      <c r="B45">
        <f>B3-D42</f>
        <v>146</v>
      </c>
    </row>
    <row r="49" spans="1:2" x14ac:dyDescent="0.25">
      <c r="A49" s="2" t="s">
        <v>3</v>
      </c>
      <c r="B49">
        <v>1400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2040-A08C-4EF6-9FB8-5D54C7302CCE}">
  <dimension ref="A1"/>
  <sheetViews>
    <sheetView topLeftCell="G1" workbookViewId="0"/>
  </sheetViews>
  <sheetFormatPr baseColWidth="10"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2438-6EA6-6B4A-9ECC-CFCC75E670AC}">
  <dimension ref="A1:E50"/>
  <sheetViews>
    <sheetView topLeftCell="A17" workbookViewId="0">
      <selection activeCell="D56" sqref="D56"/>
    </sheetView>
  </sheetViews>
  <sheetFormatPr baseColWidth="10" defaultRowHeight="15.75" x14ac:dyDescent="0.25"/>
  <cols>
    <col min="1" max="1" width="13.625" bestFit="1" customWidth="1"/>
    <col min="4" max="4" width="19.125" bestFit="1" customWidth="1"/>
    <col min="5" max="5" width="12.625" bestFit="1" customWidth="1"/>
  </cols>
  <sheetData>
    <row r="1" spans="1:5" x14ac:dyDescent="0.25">
      <c r="A1" s="2" t="s">
        <v>1</v>
      </c>
      <c r="B1">
        <v>946</v>
      </c>
    </row>
    <row r="2" spans="1:5" x14ac:dyDescent="0.25">
      <c r="A2" s="2" t="s">
        <v>7</v>
      </c>
      <c r="B2">
        <v>3000</v>
      </c>
    </row>
    <row r="3" spans="1:5" x14ac:dyDescent="0.25">
      <c r="A3" s="2" t="s">
        <v>18</v>
      </c>
      <c r="B3">
        <f>B1+B2</f>
        <v>3946</v>
      </c>
    </row>
    <row r="4" spans="1:5" x14ac:dyDescent="0.25">
      <c r="A4" s="1"/>
    </row>
    <row r="6" spans="1:5" x14ac:dyDescent="0.25">
      <c r="A6" s="2" t="s">
        <v>23</v>
      </c>
      <c r="B6" s="3"/>
      <c r="C6" s="3"/>
      <c r="D6" s="3"/>
      <c r="E6" s="2" t="s">
        <v>24</v>
      </c>
    </row>
    <row r="7" spans="1:5" x14ac:dyDescent="0.25">
      <c r="A7" s="1"/>
      <c r="D7" s="1" t="s">
        <v>0</v>
      </c>
      <c r="E7">
        <v>882</v>
      </c>
    </row>
    <row r="8" spans="1:5" x14ac:dyDescent="0.25">
      <c r="A8" s="1"/>
      <c r="D8" s="1" t="s">
        <v>21</v>
      </c>
      <c r="E8">
        <v>72</v>
      </c>
    </row>
    <row r="9" spans="1:5" x14ac:dyDescent="0.25">
      <c r="A9" s="1"/>
      <c r="D9" s="1" t="s">
        <v>3</v>
      </c>
      <c r="E9">
        <v>100</v>
      </c>
    </row>
    <row r="10" spans="1:5" x14ac:dyDescent="0.25">
      <c r="A10" s="1"/>
      <c r="D10" s="1" t="s">
        <v>4</v>
      </c>
      <c r="E10">
        <v>96</v>
      </c>
    </row>
    <row r="11" spans="1:5" x14ac:dyDescent="0.25">
      <c r="A11" s="1"/>
      <c r="D11" s="1" t="s">
        <v>5</v>
      </c>
      <c r="E11">
        <v>515</v>
      </c>
    </row>
    <row r="12" spans="1:5" x14ac:dyDescent="0.25">
      <c r="A12" s="1"/>
      <c r="D12" s="1" t="s">
        <v>2</v>
      </c>
      <c r="E12">
        <v>126</v>
      </c>
    </row>
    <row r="13" spans="1:5" x14ac:dyDescent="0.25">
      <c r="A13" s="1"/>
      <c r="D13" s="1" t="s">
        <v>16</v>
      </c>
      <c r="E13">
        <v>260</v>
      </c>
    </row>
    <row r="14" spans="1:5" x14ac:dyDescent="0.25">
      <c r="A14" s="1"/>
      <c r="D14" s="1" t="s">
        <v>39</v>
      </c>
      <c r="E14">
        <v>12</v>
      </c>
    </row>
    <row r="15" spans="1:5" x14ac:dyDescent="0.25">
      <c r="A15" s="1"/>
      <c r="D15" s="1" t="s">
        <v>40</v>
      </c>
      <c r="E15">
        <v>10</v>
      </c>
    </row>
    <row r="16" spans="1:5" x14ac:dyDescent="0.25">
      <c r="A16" s="1"/>
      <c r="D16" s="1" t="s">
        <v>48</v>
      </c>
      <c r="E16">
        <v>16</v>
      </c>
    </row>
    <row r="17" spans="1:5" x14ac:dyDescent="0.25">
      <c r="A17" s="1"/>
      <c r="D17" s="1" t="s">
        <v>49</v>
      </c>
      <c r="E17">
        <v>15.99</v>
      </c>
    </row>
    <row r="18" spans="1:5" x14ac:dyDescent="0.25">
      <c r="A18" s="1"/>
      <c r="D18" s="1" t="s">
        <v>49</v>
      </c>
      <c r="E18">
        <v>15.99</v>
      </c>
    </row>
    <row r="19" spans="1:5" x14ac:dyDescent="0.25">
      <c r="A19" s="1"/>
      <c r="D19" s="1" t="s">
        <v>49</v>
      </c>
      <c r="E19">
        <v>3.99</v>
      </c>
    </row>
    <row r="20" spans="1:5" x14ac:dyDescent="0.25">
      <c r="A20" s="1"/>
      <c r="D20" s="1" t="s">
        <v>51</v>
      </c>
      <c r="E20">
        <v>52</v>
      </c>
    </row>
    <row r="21" spans="1:5" x14ac:dyDescent="0.25">
      <c r="A21" s="1"/>
      <c r="D21" s="1" t="s">
        <v>57</v>
      </c>
      <c r="E21">
        <v>326</v>
      </c>
    </row>
    <row r="22" spans="1:5" x14ac:dyDescent="0.25">
      <c r="A22" s="1"/>
      <c r="D22" s="1" t="s">
        <v>52</v>
      </c>
      <c r="E22">
        <v>20</v>
      </c>
    </row>
    <row r="23" spans="1:5" x14ac:dyDescent="0.25">
      <c r="A23" s="1"/>
      <c r="D23" s="1" t="s">
        <v>53</v>
      </c>
      <c r="E23">
        <v>650</v>
      </c>
    </row>
    <row r="24" spans="1:5" x14ac:dyDescent="0.25">
      <c r="A24" s="1"/>
      <c r="D24" s="1" t="s">
        <v>55</v>
      </c>
      <c r="E24">
        <v>47</v>
      </c>
    </row>
    <row r="25" spans="1:5" x14ac:dyDescent="0.25">
      <c r="D25" s="1" t="s">
        <v>56</v>
      </c>
      <c r="E25">
        <v>75</v>
      </c>
    </row>
    <row r="26" spans="1:5" x14ac:dyDescent="0.25">
      <c r="D26" s="1" t="s">
        <v>58</v>
      </c>
      <c r="E26">
        <v>19</v>
      </c>
    </row>
    <row r="27" spans="1:5" x14ac:dyDescent="0.25">
      <c r="D27" s="1" t="s">
        <v>59</v>
      </c>
      <c r="E27">
        <v>6</v>
      </c>
    </row>
    <row r="28" spans="1:5" x14ac:dyDescent="0.25">
      <c r="D28" s="1" t="s">
        <v>60</v>
      </c>
      <c r="E28">
        <v>8</v>
      </c>
    </row>
    <row r="29" spans="1:5" x14ac:dyDescent="0.25">
      <c r="D29" s="1" t="s">
        <v>61</v>
      </c>
      <c r="E29">
        <v>320</v>
      </c>
    </row>
    <row r="30" spans="1:5" x14ac:dyDescent="0.25">
      <c r="D30" s="1" t="s">
        <v>62</v>
      </c>
      <c r="E30">
        <v>92</v>
      </c>
    </row>
    <row r="31" spans="1:5" x14ac:dyDescent="0.25">
      <c r="D31" s="1" t="s">
        <v>27</v>
      </c>
      <c r="E31">
        <v>24</v>
      </c>
    </row>
    <row r="32" spans="1:5" x14ac:dyDescent="0.25">
      <c r="D32" s="1" t="s">
        <v>14</v>
      </c>
      <c r="E32">
        <v>35</v>
      </c>
    </row>
    <row r="33" spans="1:5" x14ac:dyDescent="0.25">
      <c r="D33" s="1"/>
    </row>
    <row r="34" spans="1:5" x14ac:dyDescent="0.25">
      <c r="D34" s="1"/>
    </row>
    <row r="35" spans="1:5" x14ac:dyDescent="0.25">
      <c r="D35" s="1"/>
    </row>
    <row r="36" spans="1:5" x14ac:dyDescent="0.25">
      <c r="D36" s="1"/>
    </row>
    <row r="37" spans="1:5" x14ac:dyDescent="0.25">
      <c r="D37" s="1"/>
    </row>
    <row r="39" spans="1:5" x14ac:dyDescent="0.25">
      <c r="A39" s="2" t="s">
        <v>6</v>
      </c>
      <c r="B39">
        <f>SUM(B7:B38)</f>
        <v>0</v>
      </c>
      <c r="E39">
        <f>SUM(E7:E38) +100</f>
        <v>3898.9699999999993</v>
      </c>
    </row>
    <row r="43" spans="1:5" x14ac:dyDescent="0.25">
      <c r="B43" s="2" t="s">
        <v>15</v>
      </c>
      <c r="D43">
        <f>B39+E39</f>
        <v>3898.9699999999993</v>
      </c>
    </row>
    <row r="46" spans="1:5" x14ac:dyDescent="0.25">
      <c r="A46" s="2" t="s">
        <v>8</v>
      </c>
      <c r="B46">
        <f>B3-D43</f>
        <v>47.030000000000655</v>
      </c>
    </row>
    <row r="50" spans="1:2" x14ac:dyDescent="0.25">
      <c r="A50" s="2" t="s">
        <v>3</v>
      </c>
      <c r="B50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62AA-058A-9140-A659-433E6D34479E}">
  <dimension ref="A1:E50"/>
  <sheetViews>
    <sheetView workbookViewId="0">
      <selection activeCell="B2" sqref="B2"/>
    </sheetView>
  </sheetViews>
  <sheetFormatPr baseColWidth="10" defaultRowHeight="15.75" x14ac:dyDescent="0.25"/>
  <cols>
    <col min="1" max="1" width="13.625" bestFit="1" customWidth="1"/>
    <col min="4" max="4" width="19.125" bestFit="1" customWidth="1"/>
    <col min="5" max="5" width="12.625" bestFit="1" customWidth="1"/>
  </cols>
  <sheetData>
    <row r="1" spans="1:5" x14ac:dyDescent="0.25">
      <c r="A1" s="2" t="s">
        <v>1</v>
      </c>
    </row>
    <row r="2" spans="1:5" x14ac:dyDescent="0.25">
      <c r="A2" s="2" t="s">
        <v>7</v>
      </c>
      <c r="B2">
        <v>3050</v>
      </c>
    </row>
    <row r="3" spans="1:5" x14ac:dyDescent="0.25">
      <c r="A3" s="2" t="s">
        <v>18</v>
      </c>
      <c r="B3">
        <f>B1+B2</f>
        <v>3050</v>
      </c>
    </row>
    <row r="4" spans="1:5" x14ac:dyDescent="0.25">
      <c r="A4" s="1"/>
    </row>
    <row r="6" spans="1:5" x14ac:dyDescent="0.25">
      <c r="A6" s="2" t="s">
        <v>23</v>
      </c>
      <c r="B6" s="3"/>
      <c r="C6" s="3"/>
      <c r="D6" s="3"/>
      <c r="E6" s="2" t="s">
        <v>24</v>
      </c>
    </row>
    <row r="7" spans="1:5" x14ac:dyDescent="0.25">
      <c r="A7" s="1"/>
      <c r="D7" s="1" t="s">
        <v>0</v>
      </c>
      <c r="E7">
        <v>882</v>
      </c>
    </row>
    <row r="8" spans="1:5" x14ac:dyDescent="0.25">
      <c r="A8" s="1"/>
      <c r="B8">
        <v>50</v>
      </c>
      <c r="D8" s="1" t="s">
        <v>21</v>
      </c>
      <c r="E8">
        <v>72</v>
      </c>
    </row>
    <row r="9" spans="1:5" x14ac:dyDescent="0.25">
      <c r="A9" s="1"/>
      <c r="D9" s="1" t="s">
        <v>3</v>
      </c>
      <c r="E9">
        <v>100</v>
      </c>
    </row>
    <row r="10" spans="1:5" x14ac:dyDescent="0.25">
      <c r="A10" s="1"/>
      <c r="D10" s="1" t="s">
        <v>4</v>
      </c>
      <c r="E10">
        <v>96</v>
      </c>
    </row>
    <row r="11" spans="1:5" x14ac:dyDescent="0.25">
      <c r="A11" s="1"/>
      <c r="D11" s="1" t="s">
        <v>5</v>
      </c>
      <c r="E11">
        <v>515</v>
      </c>
    </row>
    <row r="12" spans="1:5" x14ac:dyDescent="0.25">
      <c r="A12" s="1"/>
      <c r="D12" s="1" t="s">
        <v>2</v>
      </c>
      <c r="E12">
        <v>126</v>
      </c>
    </row>
    <row r="13" spans="1:5" x14ac:dyDescent="0.25">
      <c r="A13" s="1"/>
      <c r="D13" s="1" t="s">
        <v>16</v>
      </c>
      <c r="E13">
        <v>280</v>
      </c>
    </row>
    <row r="14" spans="1:5" x14ac:dyDescent="0.25">
      <c r="A14" s="1"/>
      <c r="D14" s="1" t="s">
        <v>39</v>
      </c>
      <c r="E14">
        <v>12</v>
      </c>
    </row>
    <row r="15" spans="1:5" x14ac:dyDescent="0.25">
      <c r="A15" s="1"/>
      <c r="D15" s="1" t="s">
        <v>40</v>
      </c>
      <c r="E15">
        <v>10</v>
      </c>
    </row>
    <row r="16" spans="1:5" x14ac:dyDescent="0.25">
      <c r="A16" s="1"/>
      <c r="D16" s="1" t="s">
        <v>48</v>
      </c>
      <c r="E16">
        <v>18</v>
      </c>
    </row>
    <row r="17" spans="1:5" x14ac:dyDescent="0.25">
      <c r="A17" s="1"/>
      <c r="D17" s="1" t="s">
        <v>49</v>
      </c>
      <c r="E17">
        <v>23</v>
      </c>
    </row>
    <row r="18" spans="1:5" x14ac:dyDescent="0.25">
      <c r="A18" s="1"/>
      <c r="D18" s="1" t="s">
        <v>49</v>
      </c>
      <c r="E18">
        <v>15.99</v>
      </c>
    </row>
    <row r="19" spans="1:5" x14ac:dyDescent="0.25">
      <c r="A19" s="1"/>
      <c r="D19" s="1" t="s">
        <v>49</v>
      </c>
      <c r="E19">
        <v>3.99</v>
      </c>
    </row>
    <row r="20" spans="1:5" x14ac:dyDescent="0.25">
      <c r="A20" s="1"/>
      <c r="D20" s="1" t="s">
        <v>51</v>
      </c>
      <c r="E20">
        <v>52</v>
      </c>
    </row>
    <row r="21" spans="1:5" x14ac:dyDescent="0.25">
      <c r="A21" s="1"/>
      <c r="D21" s="1" t="s">
        <v>14</v>
      </c>
      <c r="E21">
        <v>500</v>
      </c>
    </row>
    <row r="22" spans="1:5" x14ac:dyDescent="0.25">
      <c r="A22" s="1"/>
      <c r="D22" s="1" t="s">
        <v>52</v>
      </c>
      <c r="E22">
        <v>60</v>
      </c>
    </row>
    <row r="23" spans="1:5" x14ac:dyDescent="0.25">
      <c r="A23" s="1"/>
      <c r="D23" s="1" t="s">
        <v>63</v>
      </c>
      <c r="E23">
        <v>30</v>
      </c>
    </row>
    <row r="24" spans="1:5" x14ac:dyDescent="0.25">
      <c r="A24" s="1"/>
      <c r="D24" s="1" t="s">
        <v>14</v>
      </c>
      <c r="E24">
        <v>50</v>
      </c>
    </row>
    <row r="25" spans="1:5" x14ac:dyDescent="0.25">
      <c r="D25" s="1" t="s">
        <v>64</v>
      </c>
      <c r="E25">
        <v>35</v>
      </c>
    </row>
    <row r="26" spans="1:5" x14ac:dyDescent="0.25">
      <c r="D26" s="1" t="s">
        <v>65</v>
      </c>
      <c r="E26">
        <v>20</v>
      </c>
    </row>
    <row r="27" spans="1:5" x14ac:dyDescent="0.25">
      <c r="D27" s="1"/>
    </row>
    <row r="28" spans="1:5" x14ac:dyDescent="0.25">
      <c r="D28" s="1"/>
    </row>
    <row r="29" spans="1:5" x14ac:dyDescent="0.25">
      <c r="D29" s="1"/>
    </row>
    <row r="30" spans="1:5" x14ac:dyDescent="0.25">
      <c r="D30" s="1"/>
    </row>
    <row r="31" spans="1:5" x14ac:dyDescent="0.25">
      <c r="D31" s="1"/>
    </row>
    <row r="32" spans="1:5" x14ac:dyDescent="0.25">
      <c r="D32" s="1"/>
    </row>
    <row r="33" spans="1:5" x14ac:dyDescent="0.25">
      <c r="D33" s="1"/>
    </row>
    <row r="34" spans="1:5" x14ac:dyDescent="0.25">
      <c r="D34" s="1"/>
    </row>
    <row r="35" spans="1:5" x14ac:dyDescent="0.25">
      <c r="D35" s="1"/>
    </row>
    <row r="36" spans="1:5" x14ac:dyDescent="0.25">
      <c r="D36" s="1"/>
    </row>
    <row r="37" spans="1:5" x14ac:dyDescent="0.25">
      <c r="D37" s="1"/>
    </row>
    <row r="39" spans="1:5" x14ac:dyDescent="0.25">
      <c r="A39" s="2" t="s">
        <v>6</v>
      </c>
      <c r="B39">
        <f>SUM(B7:B38)</f>
        <v>50</v>
      </c>
      <c r="E39">
        <f>SUM(E7:E38) +100</f>
        <v>3000.9799999999996</v>
      </c>
    </row>
    <row r="43" spans="1:5" x14ac:dyDescent="0.25">
      <c r="B43" s="2" t="s">
        <v>15</v>
      </c>
      <c r="D43">
        <f>B39+E39</f>
        <v>3050.9799999999996</v>
      </c>
    </row>
    <row r="46" spans="1:5" x14ac:dyDescent="0.25">
      <c r="A46" s="2" t="s">
        <v>8</v>
      </c>
      <c r="B46">
        <f>B3-D43</f>
        <v>-0.97999999999956344</v>
      </c>
    </row>
    <row r="50" spans="1:2" x14ac:dyDescent="0.25">
      <c r="A50" s="2" t="s">
        <v>3</v>
      </c>
      <c r="B50">
        <v>1600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08A1-4B20-0D41-A25B-DBE545AB414D}">
  <dimension ref="A1:R44"/>
  <sheetViews>
    <sheetView topLeftCell="A6" workbookViewId="0">
      <selection activeCell="R21" sqref="R21"/>
    </sheetView>
  </sheetViews>
  <sheetFormatPr baseColWidth="10" defaultRowHeight="15.75" x14ac:dyDescent="0.25"/>
  <cols>
    <col min="1" max="1" width="13.625" bestFit="1" customWidth="1"/>
    <col min="4" max="4" width="19.125" bestFit="1" customWidth="1"/>
    <col min="5" max="5" width="12.625" bestFit="1" customWidth="1"/>
    <col min="7" max="7" width="15.5" bestFit="1" customWidth="1"/>
    <col min="13" max="13" width="18.5" bestFit="1" customWidth="1"/>
    <col min="16" max="16" width="15.625" bestFit="1" customWidth="1"/>
  </cols>
  <sheetData>
    <row r="1" spans="1:17" x14ac:dyDescent="0.25">
      <c r="A1" s="2" t="s">
        <v>1</v>
      </c>
      <c r="B1">
        <v>300</v>
      </c>
    </row>
    <row r="2" spans="1:17" x14ac:dyDescent="0.25">
      <c r="A2" s="2" t="s">
        <v>7</v>
      </c>
      <c r="B2">
        <v>3000</v>
      </c>
    </row>
    <row r="3" spans="1:17" x14ac:dyDescent="0.25">
      <c r="A3" s="2" t="s">
        <v>18</v>
      </c>
      <c r="B3">
        <f>B1+B2</f>
        <v>3300</v>
      </c>
    </row>
    <row r="4" spans="1:17" x14ac:dyDescent="0.25">
      <c r="A4" s="1"/>
      <c r="D4" s="5" t="s">
        <v>78</v>
      </c>
      <c r="M4" s="5" t="s">
        <v>80</v>
      </c>
    </row>
    <row r="6" spans="1:17" x14ac:dyDescent="0.25">
      <c r="A6" s="1"/>
      <c r="B6" s="2" t="s">
        <v>75</v>
      </c>
      <c r="C6" s="3"/>
      <c r="D6" s="3"/>
      <c r="E6" s="2" t="s">
        <v>76</v>
      </c>
      <c r="F6" s="2"/>
      <c r="G6" s="2" t="s">
        <v>77</v>
      </c>
      <c r="H6" s="2"/>
      <c r="K6" s="2" t="s">
        <v>75</v>
      </c>
      <c r="L6" s="3"/>
      <c r="M6" s="3"/>
      <c r="N6" s="2" t="s">
        <v>76</v>
      </c>
      <c r="O6" s="2"/>
      <c r="P6" s="2" t="s">
        <v>77</v>
      </c>
      <c r="Q6" s="2"/>
    </row>
    <row r="7" spans="1:17" x14ac:dyDescent="0.25">
      <c r="A7" s="1"/>
      <c r="D7" s="1" t="s">
        <v>0</v>
      </c>
      <c r="E7">
        <v>882</v>
      </c>
      <c r="G7" s="1" t="s">
        <v>52</v>
      </c>
      <c r="H7">
        <v>60</v>
      </c>
      <c r="M7" s="1" t="s">
        <v>69</v>
      </c>
      <c r="N7">
        <v>12</v>
      </c>
      <c r="P7" s="1"/>
    </row>
    <row r="8" spans="1:17" x14ac:dyDescent="0.25">
      <c r="A8" s="1"/>
      <c r="B8">
        <v>25</v>
      </c>
      <c r="D8" s="1" t="s">
        <v>21</v>
      </c>
      <c r="E8">
        <v>72</v>
      </c>
      <c r="G8" s="1" t="s">
        <v>74</v>
      </c>
      <c r="H8">
        <v>34</v>
      </c>
      <c r="M8" s="1" t="s">
        <v>70</v>
      </c>
      <c r="N8">
        <v>15</v>
      </c>
      <c r="P8" s="1"/>
    </row>
    <row r="9" spans="1:17" x14ac:dyDescent="0.25">
      <c r="A9" s="1"/>
      <c r="B9">
        <v>26</v>
      </c>
      <c r="D9" s="1" t="s">
        <v>3</v>
      </c>
      <c r="E9">
        <v>100</v>
      </c>
      <c r="G9" s="1"/>
      <c r="M9" s="1" t="s">
        <v>71</v>
      </c>
      <c r="N9">
        <v>10</v>
      </c>
      <c r="P9" s="1"/>
    </row>
    <row r="10" spans="1:17" x14ac:dyDescent="0.25">
      <c r="A10" s="1"/>
      <c r="B10">
        <v>160</v>
      </c>
      <c r="D10" s="1" t="s">
        <v>4</v>
      </c>
      <c r="E10">
        <v>96</v>
      </c>
      <c r="G10" s="1" t="s">
        <v>27</v>
      </c>
      <c r="H10">
        <v>58</v>
      </c>
      <c r="M10" s="1" t="s">
        <v>66</v>
      </c>
      <c r="N10">
        <v>50</v>
      </c>
      <c r="P10" s="1"/>
    </row>
    <row r="11" spans="1:17" x14ac:dyDescent="0.25">
      <c r="A11" s="1"/>
      <c r="D11" s="1" t="s">
        <v>5</v>
      </c>
      <c r="E11">
        <v>515</v>
      </c>
      <c r="G11" s="1" t="s">
        <v>79</v>
      </c>
      <c r="H11">
        <v>150</v>
      </c>
      <c r="M11" s="1" t="s">
        <v>67</v>
      </c>
      <c r="N11">
        <v>70</v>
      </c>
    </row>
    <row r="12" spans="1:17" x14ac:dyDescent="0.25">
      <c r="A12" s="1"/>
      <c r="D12" s="1" t="s">
        <v>2</v>
      </c>
      <c r="E12">
        <v>126</v>
      </c>
      <c r="M12" s="1" t="s">
        <v>68</v>
      </c>
      <c r="N12">
        <v>100</v>
      </c>
    </row>
    <row r="13" spans="1:17" x14ac:dyDescent="0.25">
      <c r="A13" s="1"/>
      <c r="D13" s="1" t="s">
        <v>16</v>
      </c>
      <c r="M13" s="1" t="s">
        <v>72</v>
      </c>
      <c r="N13">
        <v>15</v>
      </c>
    </row>
    <row r="14" spans="1:17" x14ac:dyDescent="0.25">
      <c r="A14" s="1"/>
      <c r="D14" s="1" t="s">
        <v>39</v>
      </c>
      <c r="E14">
        <v>12</v>
      </c>
      <c r="M14" s="1"/>
    </row>
    <row r="15" spans="1:17" x14ac:dyDescent="0.25">
      <c r="A15" s="1"/>
      <c r="D15" s="1" t="s">
        <v>40</v>
      </c>
      <c r="E15">
        <v>10</v>
      </c>
      <c r="M15" s="1"/>
    </row>
    <row r="16" spans="1:17" x14ac:dyDescent="0.25">
      <c r="A16" s="1"/>
      <c r="D16" s="1" t="s">
        <v>48</v>
      </c>
      <c r="E16">
        <v>20</v>
      </c>
      <c r="M16" s="1"/>
    </row>
    <row r="17" spans="1:18" x14ac:dyDescent="0.25">
      <c r="A17" s="1"/>
      <c r="D17" s="1" t="s">
        <v>49</v>
      </c>
      <c r="E17">
        <v>20</v>
      </c>
      <c r="M17" s="1"/>
    </row>
    <row r="18" spans="1:18" x14ac:dyDescent="0.25">
      <c r="A18" s="1"/>
      <c r="D18" s="1" t="s">
        <v>49</v>
      </c>
      <c r="E18">
        <v>20</v>
      </c>
      <c r="M18" s="1"/>
      <c r="R18">
        <v>467</v>
      </c>
    </row>
    <row r="19" spans="1:18" x14ac:dyDescent="0.25">
      <c r="A19" s="1"/>
      <c r="D19" s="1" t="s">
        <v>49</v>
      </c>
      <c r="E19">
        <v>3.99</v>
      </c>
      <c r="M19" s="1"/>
      <c r="R19">
        <v>152</v>
      </c>
    </row>
    <row r="20" spans="1:18" x14ac:dyDescent="0.25">
      <c r="A20" s="1"/>
      <c r="D20" s="1" t="s">
        <v>51</v>
      </c>
      <c r="E20">
        <v>52</v>
      </c>
      <c r="M20" s="1"/>
      <c r="R20">
        <v>280</v>
      </c>
    </row>
    <row r="21" spans="1:18" x14ac:dyDescent="0.25">
      <c r="A21" s="1"/>
      <c r="D21" s="1" t="s">
        <v>14</v>
      </c>
      <c r="E21">
        <v>500</v>
      </c>
      <c r="M21" s="1"/>
      <c r="R21">
        <v>85</v>
      </c>
    </row>
    <row r="22" spans="1:18" x14ac:dyDescent="0.25">
      <c r="A22" s="1"/>
      <c r="D22" s="1" t="s">
        <v>81</v>
      </c>
      <c r="E22">
        <v>10</v>
      </c>
      <c r="R22">
        <v>30</v>
      </c>
    </row>
    <row r="23" spans="1:18" x14ac:dyDescent="0.25">
      <c r="A23" s="1"/>
      <c r="D23" s="1" t="s">
        <v>82</v>
      </c>
      <c r="E23">
        <v>85</v>
      </c>
    </row>
    <row r="24" spans="1:18" x14ac:dyDescent="0.25">
      <c r="A24" s="1"/>
      <c r="D24" s="1" t="s">
        <v>84</v>
      </c>
      <c r="E24">
        <v>30</v>
      </c>
      <c r="R24">
        <f>SUM(R18:R22)</f>
        <v>1014</v>
      </c>
    </row>
    <row r="25" spans="1:18" x14ac:dyDescent="0.25">
      <c r="A25" s="1"/>
    </row>
    <row r="27" spans="1:18" x14ac:dyDescent="0.25">
      <c r="D27" s="1"/>
      <c r="Q27" t="s">
        <v>83</v>
      </c>
      <c r="R27">
        <f>R24-B40</f>
        <v>780.98999999999978</v>
      </c>
    </row>
    <row r="28" spans="1:18" x14ac:dyDescent="0.25">
      <c r="D28" s="1"/>
    </row>
    <row r="29" spans="1:18" x14ac:dyDescent="0.25">
      <c r="D29" s="1"/>
    </row>
    <row r="30" spans="1:18" x14ac:dyDescent="0.25">
      <c r="D30" s="1"/>
    </row>
    <row r="31" spans="1:18" x14ac:dyDescent="0.25">
      <c r="D31" s="1"/>
    </row>
    <row r="32" spans="1:18" x14ac:dyDescent="0.25">
      <c r="N32">
        <f>SUM(N7:N29)</f>
        <v>272</v>
      </c>
    </row>
    <row r="33" spans="1:8" x14ac:dyDescent="0.25">
      <c r="A33" s="2" t="s">
        <v>6</v>
      </c>
      <c r="B33">
        <f>SUM(B7:B32)</f>
        <v>211</v>
      </c>
      <c r="E33">
        <f>SUM(E7:E32)</f>
        <v>2553.9899999999998</v>
      </c>
      <c r="H33">
        <f>SUM(H7:H30)</f>
        <v>302</v>
      </c>
    </row>
    <row r="37" spans="1:8" x14ac:dyDescent="0.25">
      <c r="B37" s="2" t="s">
        <v>15</v>
      </c>
      <c r="D37">
        <f>B33+E33+H33</f>
        <v>3066.99</v>
      </c>
    </row>
    <row r="40" spans="1:8" x14ac:dyDescent="0.25">
      <c r="A40" s="2" t="s">
        <v>8</v>
      </c>
      <c r="B40">
        <f>B3-D37</f>
        <v>233.01000000000022</v>
      </c>
    </row>
    <row r="44" spans="1:8" x14ac:dyDescent="0.25">
      <c r="A44" s="2" t="s">
        <v>3</v>
      </c>
      <c r="B44">
        <v>1700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8906-BDBA-F240-9CE5-13A8070DDD01}">
  <dimension ref="A1:S61"/>
  <sheetViews>
    <sheetView topLeftCell="A9" zoomScale="87" zoomScaleNormal="100" workbookViewId="0">
      <selection activeCell="C45" sqref="C45"/>
    </sheetView>
  </sheetViews>
  <sheetFormatPr baseColWidth="10" defaultRowHeight="15.75" x14ac:dyDescent="0.25"/>
  <cols>
    <col min="1" max="1" width="10.625" style="1"/>
    <col min="2" max="2" width="13.625" bestFit="1" customWidth="1"/>
    <col min="5" max="5" width="19.125" bestFit="1" customWidth="1"/>
    <col min="6" max="6" width="12.625" bestFit="1" customWidth="1"/>
    <col min="8" max="8" width="15.5" bestFit="1" customWidth="1"/>
    <col min="10" max="10" width="11.125" customWidth="1"/>
    <col min="13" max="13" width="18.5" bestFit="1" customWidth="1"/>
    <col min="14" max="14" width="12.125" bestFit="1" customWidth="1"/>
    <col min="16" max="16" width="15.625" bestFit="1" customWidth="1"/>
  </cols>
  <sheetData>
    <row r="1" spans="1:19" s="1" customForma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1" customForma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25">
      <c r="A3" s="8"/>
      <c r="B3" s="1">
        <v>3030</v>
      </c>
      <c r="J3" s="7"/>
      <c r="K3">
        <v>758</v>
      </c>
      <c r="S3" s="7"/>
    </row>
    <row r="4" spans="1:19" x14ac:dyDescent="0.25">
      <c r="A4" s="8"/>
      <c r="B4" s="1">
        <v>600</v>
      </c>
      <c r="J4" s="7"/>
      <c r="S4" s="7"/>
    </row>
    <row r="5" spans="1:19" x14ac:dyDescent="0.25">
      <c r="A5" s="8"/>
      <c r="B5" s="1">
        <v>300</v>
      </c>
      <c r="J5" s="7"/>
      <c r="S5" s="7"/>
    </row>
    <row r="6" spans="1:19" x14ac:dyDescent="0.25">
      <c r="A6" s="8"/>
      <c r="B6" s="1">
        <v>100</v>
      </c>
      <c r="J6" s="7"/>
      <c r="S6" s="7"/>
    </row>
    <row r="7" spans="1:19" x14ac:dyDescent="0.25">
      <c r="A7" s="8"/>
      <c r="B7" s="1"/>
      <c r="J7" s="7"/>
      <c r="S7" s="7"/>
    </row>
    <row r="8" spans="1:19" x14ac:dyDescent="0.25">
      <c r="A8" s="8"/>
      <c r="B8" s="1"/>
      <c r="J8" s="7"/>
      <c r="S8" s="7"/>
    </row>
    <row r="9" spans="1:19" x14ac:dyDescent="0.25">
      <c r="A9" s="8"/>
      <c r="B9" s="1"/>
      <c r="E9" s="5" t="s">
        <v>78</v>
      </c>
      <c r="F9" s="2" t="s">
        <v>7</v>
      </c>
      <c r="G9">
        <v>4080</v>
      </c>
      <c r="J9" s="7"/>
      <c r="M9" s="5" t="s">
        <v>80</v>
      </c>
      <c r="N9" s="2" t="s">
        <v>7</v>
      </c>
      <c r="O9">
        <f>SUM(K3:K8)</f>
        <v>758</v>
      </c>
      <c r="S9" s="7"/>
    </row>
    <row r="10" spans="1:19" x14ac:dyDescent="0.25">
      <c r="A10" s="8"/>
      <c r="B10" s="1"/>
      <c r="J10" s="7"/>
      <c r="S10" s="7"/>
    </row>
    <row r="11" spans="1:19" x14ac:dyDescent="0.25">
      <c r="A11" s="8"/>
      <c r="B11" s="1"/>
      <c r="C11" s="2" t="s">
        <v>75</v>
      </c>
      <c r="D11" s="3"/>
      <c r="E11" s="2" t="s">
        <v>76</v>
      </c>
      <c r="F11" s="3"/>
      <c r="G11" s="2"/>
      <c r="H11" s="2" t="s">
        <v>77</v>
      </c>
      <c r="I11" s="2"/>
      <c r="J11" s="7"/>
      <c r="K11" s="2" t="s">
        <v>75</v>
      </c>
      <c r="L11" s="3"/>
      <c r="M11" s="2" t="s">
        <v>76</v>
      </c>
      <c r="N11" s="3"/>
      <c r="O11" s="2"/>
      <c r="P11" s="2" t="s">
        <v>77</v>
      </c>
      <c r="Q11" s="2"/>
      <c r="S11" s="7"/>
    </row>
    <row r="12" spans="1:19" x14ac:dyDescent="0.25">
      <c r="A12" s="8"/>
      <c r="B12" s="1"/>
      <c r="E12" s="1" t="s">
        <v>0</v>
      </c>
      <c r="F12">
        <v>882</v>
      </c>
      <c r="H12" s="1" t="s">
        <v>52</v>
      </c>
      <c r="I12">
        <v>60</v>
      </c>
      <c r="J12" s="7"/>
      <c r="M12" s="1" t="s">
        <v>69</v>
      </c>
      <c r="N12">
        <v>12</v>
      </c>
      <c r="P12" s="1" t="s">
        <v>85</v>
      </c>
      <c r="Q12">
        <v>49.97</v>
      </c>
      <c r="S12" s="7"/>
    </row>
    <row r="13" spans="1:19" x14ac:dyDescent="0.25">
      <c r="A13" s="8"/>
      <c r="B13" s="1" t="s">
        <v>91</v>
      </c>
      <c r="C13">
        <v>467</v>
      </c>
      <c r="E13" s="1" t="s">
        <v>21</v>
      </c>
      <c r="F13">
        <v>72</v>
      </c>
      <c r="H13" s="1" t="s">
        <v>74</v>
      </c>
      <c r="I13">
        <v>34</v>
      </c>
      <c r="J13" s="7"/>
      <c r="M13" s="1" t="s">
        <v>70</v>
      </c>
      <c r="N13">
        <v>15</v>
      </c>
      <c r="P13" s="1" t="s">
        <v>86</v>
      </c>
      <c r="Q13">
        <v>179.84</v>
      </c>
      <c r="S13" s="7"/>
    </row>
    <row r="14" spans="1:19" x14ac:dyDescent="0.25">
      <c r="A14" s="8"/>
      <c r="B14" s="1" t="s">
        <v>50</v>
      </c>
      <c r="C14">
        <v>152</v>
      </c>
      <c r="E14" s="1" t="s">
        <v>3</v>
      </c>
      <c r="F14">
        <v>100</v>
      </c>
      <c r="H14" s="1" t="s">
        <v>92</v>
      </c>
      <c r="I14">
        <v>33</v>
      </c>
      <c r="J14" s="7"/>
      <c r="M14" s="1" t="s">
        <v>71</v>
      </c>
      <c r="N14">
        <v>10</v>
      </c>
      <c r="P14" s="1" t="s">
        <v>86</v>
      </c>
      <c r="Q14">
        <v>97.69</v>
      </c>
      <c r="S14" s="7"/>
    </row>
    <row r="15" spans="1:19" x14ac:dyDescent="0.25">
      <c r="A15" s="8"/>
      <c r="B15" s="1" t="s">
        <v>11</v>
      </c>
      <c r="C15">
        <v>280</v>
      </c>
      <c r="E15" s="1" t="s">
        <v>4</v>
      </c>
      <c r="F15">
        <v>96</v>
      </c>
      <c r="H15" s="1" t="s">
        <v>93</v>
      </c>
      <c r="I15">
        <v>17</v>
      </c>
      <c r="J15" s="7"/>
      <c r="M15" s="1" t="s">
        <v>66</v>
      </c>
      <c r="N15">
        <v>50</v>
      </c>
      <c r="P15" s="1" t="s">
        <v>86</v>
      </c>
      <c r="Q15">
        <v>12.61</v>
      </c>
      <c r="S15" s="7"/>
    </row>
    <row r="16" spans="1:19" x14ac:dyDescent="0.25">
      <c r="A16" s="8"/>
      <c r="B16" s="1" t="s">
        <v>82</v>
      </c>
      <c r="C16">
        <v>85</v>
      </c>
      <c r="E16" s="1" t="s">
        <v>5</v>
      </c>
      <c r="F16">
        <v>515</v>
      </c>
      <c r="H16" s="1" t="s">
        <v>94</v>
      </c>
      <c r="I16">
        <v>30</v>
      </c>
      <c r="J16" s="7"/>
      <c r="M16" s="1" t="s">
        <v>67</v>
      </c>
      <c r="N16">
        <v>70</v>
      </c>
      <c r="P16" s="1" t="s">
        <v>87</v>
      </c>
      <c r="Q16">
        <v>16.489999999999998</v>
      </c>
      <c r="S16" s="7"/>
    </row>
    <row r="17" spans="1:19" x14ac:dyDescent="0.25">
      <c r="A17" s="8"/>
      <c r="B17" s="1" t="s">
        <v>84</v>
      </c>
      <c r="C17">
        <v>30</v>
      </c>
      <c r="E17" s="1" t="s">
        <v>2</v>
      </c>
      <c r="F17">
        <v>126</v>
      </c>
      <c r="H17" s="1" t="s">
        <v>95</v>
      </c>
      <c r="I17">
        <v>17</v>
      </c>
      <c r="J17" s="7"/>
      <c r="M17" s="1" t="s">
        <v>68</v>
      </c>
      <c r="N17">
        <v>50</v>
      </c>
      <c r="P17" s="1" t="s">
        <v>87</v>
      </c>
      <c r="Q17">
        <v>15.66</v>
      </c>
      <c r="S17" s="7"/>
    </row>
    <row r="18" spans="1:19" x14ac:dyDescent="0.25">
      <c r="A18" s="8"/>
      <c r="B18" s="1" t="s">
        <v>81</v>
      </c>
      <c r="C18">
        <v>10</v>
      </c>
      <c r="E18" s="1" t="s">
        <v>16</v>
      </c>
      <c r="H18" s="1" t="s">
        <v>96</v>
      </c>
      <c r="I18">
        <v>56</v>
      </c>
      <c r="J18" s="7"/>
      <c r="M18" s="1" t="s">
        <v>72</v>
      </c>
      <c r="N18">
        <v>15</v>
      </c>
      <c r="P18" s="1" t="s">
        <v>88</v>
      </c>
      <c r="Q18">
        <v>37.25</v>
      </c>
      <c r="S18" s="7"/>
    </row>
    <row r="19" spans="1:19" x14ac:dyDescent="0.25">
      <c r="A19" s="8"/>
      <c r="B19" s="1"/>
      <c r="E19" s="1" t="s">
        <v>39</v>
      </c>
      <c r="F19">
        <v>12</v>
      </c>
      <c r="H19" s="1" t="s">
        <v>97</v>
      </c>
      <c r="I19">
        <v>13</v>
      </c>
      <c r="J19" s="7"/>
      <c r="M19" s="1"/>
      <c r="P19" s="1" t="s">
        <v>89</v>
      </c>
      <c r="Q19">
        <v>18.059999999999999</v>
      </c>
      <c r="S19" s="7"/>
    </row>
    <row r="20" spans="1:19" x14ac:dyDescent="0.25">
      <c r="A20" s="8"/>
      <c r="B20" s="1"/>
      <c r="E20" s="1" t="s">
        <v>40</v>
      </c>
      <c r="F20">
        <v>10</v>
      </c>
      <c r="H20" s="1" t="s">
        <v>98</v>
      </c>
      <c r="I20">
        <v>17</v>
      </c>
      <c r="J20" s="7"/>
      <c r="M20" s="1"/>
      <c r="P20" s="1" t="s">
        <v>85</v>
      </c>
      <c r="Q20">
        <v>66</v>
      </c>
      <c r="S20" s="7"/>
    </row>
    <row r="21" spans="1:19" x14ac:dyDescent="0.25">
      <c r="A21" s="8"/>
      <c r="B21" s="1"/>
      <c r="E21" s="1" t="s">
        <v>48</v>
      </c>
      <c r="F21">
        <v>75</v>
      </c>
      <c r="H21" s="1" t="s">
        <v>100</v>
      </c>
      <c r="I21">
        <v>21</v>
      </c>
      <c r="J21" s="7"/>
      <c r="M21" s="1"/>
      <c r="S21" s="7"/>
    </row>
    <row r="22" spans="1:19" x14ac:dyDescent="0.25">
      <c r="A22" s="8"/>
      <c r="B22" s="1"/>
      <c r="E22" s="1" t="s">
        <v>49</v>
      </c>
      <c r="F22">
        <v>20</v>
      </c>
      <c r="H22" s="1" t="s">
        <v>17</v>
      </c>
      <c r="I22">
        <v>12.4</v>
      </c>
      <c r="J22" s="7"/>
      <c r="M22" s="1"/>
      <c r="S22" s="7"/>
    </row>
    <row r="23" spans="1:19" x14ac:dyDescent="0.25">
      <c r="A23" s="8"/>
      <c r="B23" s="1"/>
      <c r="E23" s="1" t="s">
        <v>49</v>
      </c>
      <c r="F23">
        <v>100</v>
      </c>
      <c r="H23" s="1"/>
      <c r="J23" s="7"/>
      <c r="M23" s="1"/>
      <c r="S23" s="7"/>
    </row>
    <row r="24" spans="1:19" x14ac:dyDescent="0.25">
      <c r="A24" s="8"/>
      <c r="B24" s="1"/>
      <c r="E24" s="1" t="s">
        <v>49</v>
      </c>
      <c r="F24">
        <v>3.99</v>
      </c>
      <c r="H24" s="1" t="s">
        <v>101</v>
      </c>
      <c r="I24">
        <v>10</v>
      </c>
      <c r="J24" s="7"/>
      <c r="M24" s="1"/>
      <c r="S24" s="7"/>
    </row>
    <row r="25" spans="1:19" x14ac:dyDescent="0.25">
      <c r="A25" s="8"/>
      <c r="B25" s="1"/>
      <c r="E25" s="1" t="s">
        <v>51</v>
      </c>
      <c r="F25">
        <v>52</v>
      </c>
      <c r="H25" s="1" t="s">
        <v>101</v>
      </c>
      <c r="I25">
        <v>6</v>
      </c>
      <c r="J25" s="7"/>
      <c r="M25" s="1"/>
      <c r="S25" s="7"/>
    </row>
    <row r="26" spans="1:19" x14ac:dyDescent="0.25">
      <c r="A26" s="8"/>
      <c r="B26" s="1"/>
      <c r="E26" s="1" t="s">
        <v>14</v>
      </c>
      <c r="F26">
        <v>500</v>
      </c>
      <c r="H26" s="1" t="s">
        <v>102</v>
      </c>
      <c r="I26">
        <v>40</v>
      </c>
      <c r="J26" s="7"/>
      <c r="M26" s="1"/>
      <c r="S26" s="7"/>
    </row>
    <row r="27" spans="1:19" x14ac:dyDescent="0.25">
      <c r="A27" s="8"/>
      <c r="B27" s="1"/>
      <c r="E27" s="1" t="s">
        <v>73</v>
      </c>
      <c r="F27">
        <v>75</v>
      </c>
      <c r="H27" s="1" t="s">
        <v>103</v>
      </c>
      <c r="I27">
        <v>10</v>
      </c>
      <c r="J27" s="7"/>
      <c r="S27" s="7"/>
    </row>
    <row r="28" spans="1:19" x14ac:dyDescent="0.25">
      <c r="A28" s="8"/>
      <c r="B28" s="1"/>
      <c r="E28" s="1"/>
      <c r="H28" s="1" t="s">
        <v>103</v>
      </c>
      <c r="I28">
        <v>7.99</v>
      </c>
      <c r="J28" s="7"/>
      <c r="S28" s="7"/>
    </row>
    <row r="29" spans="1:19" x14ac:dyDescent="0.25">
      <c r="A29" s="8"/>
      <c r="B29" s="1"/>
      <c r="E29" s="1"/>
      <c r="H29" s="1" t="s">
        <v>104</v>
      </c>
      <c r="I29">
        <v>13</v>
      </c>
      <c r="J29" s="7"/>
      <c r="S29" s="7"/>
    </row>
    <row r="30" spans="1:19" x14ac:dyDescent="0.25">
      <c r="A30" s="8"/>
      <c r="B30" s="1"/>
      <c r="H30" s="1" t="s">
        <v>109</v>
      </c>
      <c r="I30">
        <v>21.45</v>
      </c>
      <c r="J30" s="7"/>
      <c r="S30" s="7"/>
    </row>
    <row r="31" spans="1:19" x14ac:dyDescent="0.25">
      <c r="A31" s="8"/>
      <c r="H31" s="1" t="s">
        <v>110</v>
      </c>
      <c r="I31">
        <v>9</v>
      </c>
      <c r="J31" s="7"/>
      <c r="S31" s="7"/>
    </row>
    <row r="32" spans="1:19" x14ac:dyDescent="0.25">
      <c r="A32" s="8"/>
      <c r="E32" s="1"/>
      <c r="H32" s="1" t="s">
        <v>111</v>
      </c>
      <c r="I32">
        <v>15</v>
      </c>
      <c r="J32" s="7"/>
      <c r="S32" s="7"/>
    </row>
    <row r="33" spans="1:19" x14ac:dyDescent="0.25">
      <c r="A33" s="8"/>
      <c r="E33" s="1"/>
      <c r="H33" s="1" t="s">
        <v>112</v>
      </c>
      <c r="I33">
        <v>40</v>
      </c>
      <c r="J33" s="7"/>
      <c r="S33" s="7"/>
    </row>
    <row r="34" spans="1:19" x14ac:dyDescent="0.25">
      <c r="A34" s="8"/>
      <c r="E34" s="1"/>
      <c r="J34" s="7"/>
      <c r="S34" s="7"/>
    </row>
    <row r="35" spans="1:19" x14ac:dyDescent="0.25">
      <c r="A35" s="8"/>
      <c r="E35" s="1"/>
      <c r="J35" s="7"/>
      <c r="S35" s="7"/>
    </row>
    <row r="36" spans="1:19" x14ac:dyDescent="0.25">
      <c r="A36" s="8"/>
      <c r="E36" s="1"/>
      <c r="J36" s="7"/>
      <c r="S36" s="7"/>
    </row>
    <row r="37" spans="1:19" x14ac:dyDescent="0.25">
      <c r="A37" s="8"/>
      <c r="J37" s="7"/>
      <c r="S37" s="7"/>
    </row>
    <row r="38" spans="1:19" x14ac:dyDescent="0.25">
      <c r="A38" s="8"/>
      <c r="B38" s="2" t="s">
        <v>6</v>
      </c>
      <c r="C38">
        <f>SUM(C12:C37)+80</f>
        <v>1104</v>
      </c>
      <c r="F38">
        <f>SUM(F12:F37)</f>
        <v>2638.99</v>
      </c>
      <c r="I38">
        <f>SUM(I12:I35)</f>
        <v>482.84</v>
      </c>
      <c r="J38" s="7"/>
      <c r="N38">
        <f>SUM(N12:N34)</f>
        <v>222</v>
      </c>
      <c r="Q38">
        <f>SUM(Q12:Q35)</f>
        <v>493.57000000000005</v>
      </c>
      <c r="S38" s="7"/>
    </row>
    <row r="39" spans="1:19" x14ac:dyDescent="0.25">
      <c r="A39" s="8"/>
      <c r="J39" s="7"/>
      <c r="S39" s="7"/>
    </row>
    <row r="40" spans="1:19" x14ac:dyDescent="0.25">
      <c r="A40" s="8"/>
      <c r="J40" s="7"/>
      <c r="S40" s="7"/>
    </row>
    <row r="41" spans="1:19" x14ac:dyDescent="0.25">
      <c r="A41" s="8"/>
      <c r="J41" s="7"/>
      <c r="S41" s="7"/>
    </row>
    <row r="42" spans="1:19" x14ac:dyDescent="0.25">
      <c r="A42" s="8"/>
      <c r="C42" s="2" t="s">
        <v>15</v>
      </c>
      <c r="E42">
        <f>C38+F38+I38+100</f>
        <v>4325.83</v>
      </c>
      <c r="J42" s="7"/>
      <c r="K42" s="2" t="s">
        <v>6</v>
      </c>
      <c r="P42">
        <f>N38+Q38</f>
        <v>715.57</v>
      </c>
      <c r="S42" s="7"/>
    </row>
    <row r="43" spans="1:19" x14ac:dyDescent="0.25">
      <c r="A43" s="8"/>
      <c r="J43" s="7"/>
      <c r="S43" s="7"/>
    </row>
    <row r="44" spans="1:19" x14ac:dyDescent="0.25">
      <c r="A44" s="8"/>
      <c r="J44" s="7"/>
      <c r="S44" s="7"/>
    </row>
    <row r="45" spans="1:19" x14ac:dyDescent="0.25">
      <c r="A45" s="8"/>
      <c r="B45" s="2" t="s">
        <v>8</v>
      </c>
      <c r="C45">
        <f>G9-E42</f>
        <v>-245.82999999999993</v>
      </c>
      <c r="J45" s="7"/>
      <c r="K45">
        <f>O9-P42</f>
        <v>42.42999999999995</v>
      </c>
      <c r="S45" s="7"/>
    </row>
    <row r="46" spans="1:19" x14ac:dyDescent="0.25">
      <c r="A46" s="8"/>
      <c r="J46" s="7"/>
      <c r="S46" s="7"/>
    </row>
    <row r="47" spans="1:19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4" x14ac:dyDescent="0.25">
      <c r="A49"/>
    </row>
    <row r="51" spans="1:14" x14ac:dyDescent="0.25">
      <c r="B51" s="2" t="s">
        <v>3</v>
      </c>
      <c r="C51">
        <v>1800</v>
      </c>
      <c r="M51" t="s">
        <v>105</v>
      </c>
    </row>
    <row r="52" spans="1:14" x14ac:dyDescent="0.25">
      <c r="M52" t="s">
        <v>106</v>
      </c>
      <c r="N52">
        <v>24.99</v>
      </c>
    </row>
    <row r="53" spans="1:14" x14ac:dyDescent="0.25">
      <c r="M53" t="s">
        <v>107</v>
      </c>
    </row>
    <row r="54" spans="1:14" x14ac:dyDescent="0.25">
      <c r="M54" t="s">
        <v>108</v>
      </c>
      <c r="N54">
        <v>50</v>
      </c>
    </row>
    <row r="61" spans="1:14" x14ac:dyDescent="0.25">
      <c r="N61">
        <f>SUM(N51:N57)</f>
        <v>74.989999999999995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3821-80F0-964E-A1B4-E0724DA71538}">
  <dimension ref="A1:S73"/>
  <sheetViews>
    <sheetView topLeftCell="A4" zoomScaleNormal="120" workbookViewId="0">
      <selection activeCell="Q13" sqref="Q13"/>
    </sheetView>
  </sheetViews>
  <sheetFormatPr baseColWidth="10" defaultRowHeight="15.75" x14ac:dyDescent="0.25"/>
  <cols>
    <col min="2" max="2" width="11.625" bestFit="1" customWidth="1"/>
    <col min="5" max="5" width="20.125" customWidth="1"/>
    <col min="11" max="11" width="8.125" customWidth="1"/>
    <col min="13" max="13" width="18.125" customWidth="1"/>
    <col min="18" max="18" width="3.625" customWidth="1"/>
  </cols>
  <sheetData>
    <row r="1" spans="1:19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25">
      <c r="A3" s="10"/>
      <c r="B3" s="9"/>
      <c r="C3" s="11"/>
      <c r="D3" s="11"/>
      <c r="E3" s="11"/>
      <c r="F3" s="11"/>
      <c r="G3" s="11"/>
      <c r="H3" s="11"/>
      <c r="I3" s="11"/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19" x14ac:dyDescent="0.25">
      <c r="A4" s="10"/>
      <c r="B4" s="9"/>
      <c r="C4" s="11"/>
      <c r="D4" s="11"/>
      <c r="E4" s="13" t="s">
        <v>78</v>
      </c>
      <c r="F4" s="14" t="s">
        <v>7</v>
      </c>
      <c r="G4" s="11">
        <v>3300</v>
      </c>
      <c r="H4" s="11"/>
      <c r="I4" s="11"/>
      <c r="J4" s="12"/>
      <c r="K4" s="11"/>
      <c r="L4" s="11"/>
      <c r="M4" s="13" t="s">
        <v>80</v>
      </c>
      <c r="N4" s="14" t="s">
        <v>7</v>
      </c>
      <c r="O4" s="11">
        <v>887</v>
      </c>
      <c r="P4" s="11"/>
      <c r="Q4" s="11"/>
      <c r="R4" s="11"/>
      <c r="S4" s="12"/>
    </row>
    <row r="5" spans="1:19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19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19" x14ac:dyDescent="0.25">
      <c r="A7" s="10"/>
      <c r="B7" s="9"/>
      <c r="C7" s="11"/>
      <c r="D7" s="11"/>
      <c r="E7" s="9" t="s">
        <v>0</v>
      </c>
      <c r="F7" s="11">
        <v>882</v>
      </c>
      <c r="G7" s="11"/>
      <c r="H7" s="9" t="s">
        <v>52</v>
      </c>
      <c r="I7" s="11"/>
      <c r="J7" s="12"/>
      <c r="K7" s="11"/>
      <c r="L7" s="11"/>
      <c r="M7" s="9" t="s">
        <v>69</v>
      </c>
      <c r="N7" s="11">
        <v>12</v>
      </c>
      <c r="O7" s="11"/>
      <c r="P7" s="9" t="s">
        <v>90</v>
      </c>
      <c r="Q7" s="11">
        <v>72.98</v>
      </c>
      <c r="R7" s="11"/>
      <c r="S7" s="12"/>
    </row>
    <row r="8" spans="1:19" x14ac:dyDescent="0.25">
      <c r="A8" s="10"/>
      <c r="B8" s="9"/>
      <c r="C8" s="11"/>
      <c r="D8" s="11"/>
      <c r="E8" s="9" t="s">
        <v>21</v>
      </c>
      <c r="F8" s="11">
        <v>72</v>
      </c>
      <c r="G8" s="11"/>
      <c r="H8" s="9" t="s">
        <v>74</v>
      </c>
      <c r="I8" s="11">
        <v>34</v>
      </c>
      <c r="J8" s="12"/>
      <c r="K8" s="11"/>
      <c r="L8" s="11"/>
      <c r="M8" s="9" t="s">
        <v>70</v>
      </c>
      <c r="N8" s="11">
        <v>15</v>
      </c>
      <c r="O8" s="11"/>
      <c r="P8" s="9" t="s">
        <v>116</v>
      </c>
      <c r="Q8" s="11">
        <v>27</v>
      </c>
      <c r="R8" s="11"/>
      <c r="S8" s="12"/>
    </row>
    <row r="9" spans="1:19" x14ac:dyDescent="0.25">
      <c r="A9" s="10"/>
      <c r="B9" s="9"/>
      <c r="C9" s="11"/>
      <c r="D9" s="11"/>
      <c r="E9" s="9" t="s">
        <v>3</v>
      </c>
      <c r="F9" s="11">
        <v>100</v>
      </c>
      <c r="G9" s="11"/>
      <c r="H9" s="9" t="s">
        <v>115</v>
      </c>
      <c r="I9" s="11">
        <v>34</v>
      </c>
      <c r="J9" s="12"/>
      <c r="K9" s="11"/>
      <c r="L9" s="11"/>
      <c r="M9" s="9" t="s">
        <v>71</v>
      </c>
      <c r="N9" s="11">
        <v>10</v>
      </c>
      <c r="O9" s="11"/>
      <c r="P9" s="9" t="s">
        <v>116</v>
      </c>
      <c r="Q9" s="11">
        <v>24.33</v>
      </c>
      <c r="R9" s="11"/>
      <c r="S9" s="12"/>
    </row>
    <row r="10" spans="1:19" x14ac:dyDescent="0.25">
      <c r="A10" s="10"/>
      <c r="B10" s="9"/>
      <c r="C10" s="11"/>
      <c r="D10" s="11"/>
      <c r="E10" s="9" t="s">
        <v>4</v>
      </c>
      <c r="F10" s="11">
        <v>96</v>
      </c>
      <c r="G10" s="11"/>
      <c r="H10" s="9" t="s">
        <v>11</v>
      </c>
      <c r="I10" s="11">
        <v>23</v>
      </c>
      <c r="J10" s="12"/>
      <c r="K10" s="11"/>
      <c r="L10" s="11"/>
      <c r="M10" s="9" t="s">
        <v>66</v>
      </c>
      <c r="N10" s="11">
        <v>50</v>
      </c>
      <c r="O10" s="11"/>
      <c r="P10" s="9" t="s">
        <v>117</v>
      </c>
      <c r="Q10" s="11">
        <v>20</v>
      </c>
      <c r="R10" s="11"/>
      <c r="S10" s="12"/>
    </row>
    <row r="11" spans="1:19" x14ac:dyDescent="0.25">
      <c r="A11" s="10"/>
      <c r="B11" s="9"/>
      <c r="C11" s="11"/>
      <c r="D11" s="11"/>
      <c r="E11" s="9" t="s">
        <v>5</v>
      </c>
      <c r="F11" s="11">
        <v>515</v>
      </c>
      <c r="G11" s="11"/>
      <c r="H11" s="9" t="s">
        <v>131</v>
      </c>
      <c r="I11" s="11">
        <v>25</v>
      </c>
      <c r="J11" s="12"/>
      <c r="K11" s="11"/>
      <c r="L11" s="11"/>
      <c r="M11" s="9" t="s">
        <v>67</v>
      </c>
      <c r="N11" s="11">
        <v>70</v>
      </c>
      <c r="O11" s="11"/>
      <c r="P11" s="9" t="s">
        <v>118</v>
      </c>
      <c r="Q11" s="11"/>
      <c r="R11" s="11"/>
      <c r="S11" s="12"/>
    </row>
    <row r="12" spans="1:19" x14ac:dyDescent="0.25">
      <c r="A12" s="10"/>
      <c r="B12" s="9"/>
      <c r="C12" s="11"/>
      <c r="D12" s="11"/>
      <c r="E12" s="9" t="s">
        <v>2</v>
      </c>
      <c r="F12" s="11">
        <v>126</v>
      </c>
      <c r="G12" s="11"/>
      <c r="H12" s="9" t="s">
        <v>133</v>
      </c>
      <c r="I12" s="11">
        <v>15</v>
      </c>
      <c r="J12" s="12"/>
      <c r="K12" s="11"/>
      <c r="L12" s="11"/>
      <c r="M12" s="9" t="s">
        <v>68</v>
      </c>
      <c r="N12" s="11">
        <v>50</v>
      </c>
      <c r="O12" s="11"/>
      <c r="P12" s="9" t="s">
        <v>120</v>
      </c>
      <c r="Q12" s="11">
        <v>69</v>
      </c>
      <c r="R12" s="11"/>
      <c r="S12" s="12"/>
    </row>
    <row r="13" spans="1:19" x14ac:dyDescent="0.25">
      <c r="A13" s="10"/>
      <c r="B13" s="9"/>
      <c r="C13" s="11"/>
      <c r="D13" s="11"/>
      <c r="E13" s="9" t="s">
        <v>16</v>
      </c>
      <c r="F13" s="11">
        <v>310</v>
      </c>
      <c r="G13" s="11"/>
      <c r="H13" s="9"/>
      <c r="I13" s="11"/>
      <c r="J13" s="12"/>
      <c r="K13" s="11"/>
      <c r="L13" s="11"/>
      <c r="M13" s="9" t="s">
        <v>72</v>
      </c>
      <c r="N13" s="11">
        <v>15</v>
      </c>
      <c r="O13" s="11"/>
      <c r="P13" s="9" t="s">
        <v>121</v>
      </c>
      <c r="Q13" s="11">
        <v>71</v>
      </c>
      <c r="R13" s="11"/>
      <c r="S13" s="12"/>
    </row>
    <row r="14" spans="1:19" x14ac:dyDescent="0.25">
      <c r="A14" s="10"/>
      <c r="B14" s="9"/>
      <c r="C14" s="11"/>
      <c r="D14" s="11"/>
      <c r="E14" s="9" t="s">
        <v>39</v>
      </c>
      <c r="F14" s="11">
        <v>12</v>
      </c>
      <c r="G14" s="11"/>
      <c r="H14" s="9"/>
      <c r="I14" s="11"/>
      <c r="J14" s="12"/>
      <c r="K14" s="11"/>
      <c r="L14" s="11"/>
      <c r="M14" s="9"/>
      <c r="N14" s="11"/>
      <c r="O14" s="11"/>
      <c r="P14" s="9" t="s">
        <v>115</v>
      </c>
      <c r="Q14" s="11"/>
      <c r="R14" s="11"/>
      <c r="S14" s="12"/>
    </row>
    <row r="15" spans="1:19" x14ac:dyDescent="0.25">
      <c r="A15" s="10"/>
      <c r="B15" s="9"/>
      <c r="C15" s="11"/>
      <c r="D15" s="11"/>
      <c r="E15" s="9" t="s">
        <v>40</v>
      </c>
      <c r="F15" s="11">
        <v>10</v>
      </c>
      <c r="G15" s="11"/>
      <c r="H15" s="9"/>
      <c r="I15" s="11"/>
      <c r="J15" s="12"/>
      <c r="K15" s="11"/>
      <c r="L15" s="11"/>
      <c r="M15" s="9"/>
      <c r="N15" s="11"/>
      <c r="O15" s="11"/>
      <c r="P15" s="9" t="s">
        <v>85</v>
      </c>
      <c r="Q15" s="11">
        <v>66</v>
      </c>
      <c r="R15" s="11"/>
      <c r="S15" s="12"/>
    </row>
    <row r="16" spans="1:19" x14ac:dyDescent="0.25">
      <c r="A16" s="10"/>
      <c r="B16" s="9"/>
      <c r="C16" s="11"/>
      <c r="D16" s="11"/>
      <c r="E16" s="9" t="s">
        <v>48</v>
      </c>
      <c r="F16" s="11">
        <v>20</v>
      </c>
      <c r="G16" s="11"/>
      <c r="H16" s="11"/>
      <c r="I16" s="11"/>
      <c r="J16" s="12"/>
      <c r="K16" s="11"/>
      <c r="L16" s="11"/>
      <c r="M16" s="9"/>
      <c r="N16" s="11"/>
      <c r="O16" s="11"/>
      <c r="P16" s="11" t="s">
        <v>128</v>
      </c>
      <c r="Q16" s="11">
        <v>10.5</v>
      </c>
      <c r="R16" s="11"/>
      <c r="S16" s="12"/>
    </row>
    <row r="17" spans="1:19" x14ac:dyDescent="0.25">
      <c r="A17" s="10"/>
      <c r="B17" s="9"/>
      <c r="C17" s="11"/>
      <c r="D17" s="11"/>
      <c r="E17" s="9" t="s">
        <v>49</v>
      </c>
      <c r="F17" s="11">
        <v>20</v>
      </c>
      <c r="G17" s="11"/>
      <c r="H17" s="11"/>
      <c r="I17" s="11"/>
      <c r="J17" s="12"/>
      <c r="K17" s="11"/>
      <c r="L17" s="11"/>
      <c r="M17" s="9"/>
      <c r="N17" s="11"/>
      <c r="O17" s="11"/>
      <c r="P17" s="11" t="s">
        <v>85</v>
      </c>
      <c r="Q17" s="11">
        <v>67</v>
      </c>
      <c r="R17" s="11"/>
      <c r="S17" s="12"/>
    </row>
    <row r="18" spans="1:19" x14ac:dyDescent="0.25">
      <c r="A18" s="10"/>
      <c r="B18" s="9"/>
      <c r="C18" s="11"/>
      <c r="D18" s="11"/>
      <c r="E18" s="9" t="s">
        <v>49</v>
      </c>
      <c r="F18" s="11">
        <v>20</v>
      </c>
      <c r="G18" s="11"/>
      <c r="H18" s="11"/>
      <c r="I18" s="11"/>
      <c r="J18" s="12"/>
      <c r="K18" s="11"/>
      <c r="L18" s="11"/>
      <c r="M18" s="9"/>
      <c r="N18" s="11"/>
      <c r="O18" s="11"/>
      <c r="P18" s="11" t="s">
        <v>129</v>
      </c>
      <c r="Q18" s="11">
        <v>25</v>
      </c>
      <c r="R18" s="11"/>
      <c r="S18" s="12"/>
    </row>
    <row r="19" spans="1:19" x14ac:dyDescent="0.25">
      <c r="A19" s="10"/>
      <c r="B19" s="9"/>
      <c r="C19" s="11"/>
      <c r="D19" s="11"/>
      <c r="E19" s="9" t="s">
        <v>49</v>
      </c>
      <c r="F19" s="11">
        <v>3.99</v>
      </c>
      <c r="G19" s="11"/>
      <c r="H19" s="11"/>
      <c r="I19" s="11"/>
      <c r="J19" s="12"/>
      <c r="K19" s="11"/>
      <c r="L19" s="11"/>
      <c r="M19" s="9"/>
      <c r="N19" s="11"/>
      <c r="O19" s="11"/>
      <c r="P19" s="11" t="s">
        <v>130</v>
      </c>
      <c r="Q19" s="11">
        <v>35</v>
      </c>
      <c r="R19" s="11"/>
      <c r="S19" s="12"/>
    </row>
    <row r="20" spans="1:19" x14ac:dyDescent="0.25">
      <c r="A20" s="10"/>
      <c r="B20" s="9"/>
      <c r="C20" s="11"/>
      <c r="D20" s="11"/>
      <c r="E20" s="9" t="s">
        <v>51</v>
      </c>
      <c r="F20" s="11">
        <v>52</v>
      </c>
      <c r="G20" s="11"/>
      <c r="H20" s="11"/>
      <c r="I20" s="11"/>
      <c r="J20" s="12"/>
      <c r="K20" s="11"/>
      <c r="L20" s="11"/>
      <c r="M20" s="9"/>
      <c r="N20" s="11"/>
      <c r="O20" s="11"/>
      <c r="P20" s="11" t="s">
        <v>132</v>
      </c>
      <c r="Q20" s="11">
        <v>33</v>
      </c>
      <c r="R20" s="11"/>
      <c r="S20" s="12"/>
    </row>
    <row r="21" spans="1:19" x14ac:dyDescent="0.25">
      <c r="A21" s="10"/>
      <c r="B21" s="9"/>
      <c r="C21" s="11"/>
      <c r="D21" s="11"/>
      <c r="E21" s="9" t="s">
        <v>14</v>
      </c>
      <c r="F21" s="11"/>
      <c r="G21" s="11"/>
      <c r="H21" s="11"/>
      <c r="I21" s="11"/>
      <c r="J21" s="12"/>
      <c r="K21" s="11"/>
      <c r="L21" s="11"/>
      <c r="M21" s="9"/>
      <c r="N21" s="11"/>
      <c r="O21" s="11"/>
      <c r="P21" s="11" t="s">
        <v>134</v>
      </c>
      <c r="Q21" s="11">
        <v>16</v>
      </c>
      <c r="R21" s="11"/>
      <c r="S21" s="12"/>
    </row>
    <row r="22" spans="1:19" x14ac:dyDescent="0.25">
      <c r="A22" s="10"/>
      <c r="B22" s="9"/>
      <c r="C22" s="11"/>
      <c r="D22" s="11"/>
      <c r="E22" s="9" t="s">
        <v>73</v>
      </c>
      <c r="F22" s="11">
        <v>75</v>
      </c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9"/>
      <c r="C23" s="11"/>
      <c r="D23" s="11"/>
      <c r="E23" s="9" t="s">
        <v>114</v>
      </c>
      <c r="F23" s="11">
        <v>151</v>
      </c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9"/>
      <c r="C24" s="11"/>
      <c r="D24" s="11"/>
      <c r="E24" s="9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9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9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9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9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0"/>
      <c r="B30" s="11"/>
      <c r="C30" s="11"/>
      <c r="D30" s="11"/>
      <c r="E30" s="9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2"/>
    </row>
    <row r="31" spans="1:19" x14ac:dyDescent="0.25">
      <c r="A31" s="10"/>
      <c r="B31" s="11"/>
      <c r="C31" s="11"/>
      <c r="D31" s="11"/>
      <c r="E31" s="9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  <c r="S31" s="12"/>
    </row>
    <row r="32" spans="1:19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  <c r="S32" s="12"/>
    </row>
    <row r="33" spans="1:19" x14ac:dyDescent="0.25">
      <c r="A33" s="10"/>
      <c r="B33" s="14" t="s">
        <v>6</v>
      </c>
      <c r="C33" s="11">
        <f>SUM(C7:C31)</f>
        <v>0</v>
      </c>
      <c r="D33" s="11"/>
      <c r="E33" s="11"/>
      <c r="F33" s="11">
        <f>SUM(F7:F31)+100</f>
        <v>2564.9899999999998</v>
      </c>
      <c r="G33" s="11"/>
      <c r="H33" s="11"/>
      <c r="I33" s="11">
        <f>SUM(I7:I31)</f>
        <v>131</v>
      </c>
      <c r="J33" s="12"/>
      <c r="K33" s="11"/>
      <c r="L33" s="11"/>
      <c r="M33" s="11"/>
      <c r="N33" s="11">
        <f>SUM(N7:N31)</f>
        <v>222</v>
      </c>
      <c r="O33" s="11"/>
      <c r="P33" s="11"/>
      <c r="Q33" s="11">
        <f>SUM(Q7:Q30)</f>
        <v>536.80999999999995</v>
      </c>
      <c r="R33" s="11"/>
      <c r="S33" s="12"/>
    </row>
    <row r="34" spans="1:19" x14ac:dyDescent="0.25">
      <c r="A34" s="10"/>
      <c r="B34" s="11"/>
      <c r="C34" s="11"/>
      <c r="D34" s="11"/>
      <c r="E34" s="11"/>
      <c r="F34" s="11"/>
      <c r="G34" s="11"/>
      <c r="H34" s="11"/>
      <c r="I34" s="11"/>
      <c r="J34" s="12"/>
      <c r="K34" s="11"/>
      <c r="L34" s="11"/>
      <c r="M34" s="11"/>
      <c r="N34" s="11"/>
      <c r="O34" s="11"/>
      <c r="P34" s="11"/>
      <c r="Q34" s="11"/>
      <c r="R34" s="11"/>
      <c r="S34" s="12"/>
    </row>
    <row r="35" spans="1:19" x14ac:dyDescent="0.25">
      <c r="A35" s="10"/>
      <c r="B35" s="11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  <c r="S35" s="12"/>
    </row>
    <row r="36" spans="1:19" x14ac:dyDescent="0.25">
      <c r="A36" s="10"/>
      <c r="B36" s="11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  <c r="S36" s="12"/>
    </row>
    <row r="37" spans="1:19" x14ac:dyDescent="0.25">
      <c r="A37" s="10"/>
      <c r="B37" s="11"/>
      <c r="C37" s="14" t="s">
        <v>15</v>
      </c>
      <c r="D37" s="11">
        <f>C33+F33+I33</f>
        <v>2695.99</v>
      </c>
      <c r="E37" s="11"/>
      <c r="F37" s="11"/>
      <c r="G37" s="11"/>
      <c r="H37" s="11"/>
      <c r="I37" s="11"/>
      <c r="J37" s="12"/>
      <c r="K37" s="14" t="s">
        <v>6</v>
      </c>
      <c r="L37" s="11"/>
      <c r="M37" s="11"/>
      <c r="N37" s="11"/>
      <c r="O37" s="11"/>
      <c r="P37" s="11">
        <f>N33+Q33</f>
        <v>758.81</v>
      </c>
      <c r="Q37" s="11"/>
      <c r="R37" s="11"/>
      <c r="S37" s="12"/>
    </row>
    <row r="38" spans="1:19" x14ac:dyDescent="0.25">
      <c r="A38" s="10"/>
      <c r="B38" s="11"/>
      <c r="C38" s="11"/>
      <c r="D38" s="11"/>
      <c r="E38" s="11"/>
      <c r="F38" s="11"/>
      <c r="G38" s="11"/>
      <c r="H38" s="11"/>
      <c r="I38" s="11"/>
      <c r="J38" s="12"/>
      <c r="K38" s="11"/>
      <c r="L38" s="11"/>
      <c r="M38" s="11"/>
      <c r="N38" s="11"/>
      <c r="O38" s="11"/>
      <c r="P38" s="11"/>
      <c r="Q38" s="11"/>
      <c r="R38" s="11"/>
      <c r="S38" s="12"/>
    </row>
    <row r="39" spans="1:19" x14ac:dyDescent="0.25">
      <c r="A39" s="10"/>
      <c r="B39" s="11"/>
      <c r="C39" s="11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  <c r="S39" s="12"/>
    </row>
    <row r="40" spans="1:19" x14ac:dyDescent="0.25">
      <c r="A40" s="10"/>
      <c r="B40" s="14" t="s">
        <v>8</v>
      </c>
      <c r="C40" s="11">
        <f>G4-D37</f>
        <v>604.01000000000022</v>
      </c>
      <c r="D40" s="11"/>
      <c r="E40" s="11"/>
      <c r="F40" s="11"/>
      <c r="G40" s="11"/>
      <c r="H40" s="11"/>
      <c r="I40" s="11"/>
      <c r="J40" s="12"/>
      <c r="K40" s="14" t="s">
        <v>99</v>
      </c>
      <c r="L40" s="11">
        <f>O4-P37</f>
        <v>128.19000000000005</v>
      </c>
      <c r="M40" s="11"/>
      <c r="N40" s="11"/>
      <c r="O40" s="11"/>
      <c r="P40" s="11"/>
      <c r="Q40" s="11"/>
      <c r="R40" s="11"/>
      <c r="S40" s="12"/>
    </row>
    <row r="41" spans="1:19" x14ac:dyDescent="0.25">
      <c r="A41" s="10"/>
      <c r="B41" s="11"/>
      <c r="C41" s="11"/>
      <c r="D41" s="11"/>
      <c r="E41" s="11"/>
      <c r="F41" s="11"/>
      <c r="G41" s="11"/>
      <c r="H41" s="11"/>
      <c r="I41" s="11"/>
      <c r="J41" s="12"/>
      <c r="K41" s="11"/>
      <c r="L41" s="11"/>
      <c r="M41" s="11"/>
      <c r="N41" s="11"/>
      <c r="O41" s="11"/>
      <c r="P41" s="11"/>
      <c r="Q41" s="11"/>
      <c r="R41" s="11"/>
      <c r="S41" s="12"/>
    </row>
    <row r="42" spans="1:19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25">
      <c r="A45" s="9"/>
      <c r="B45" s="14" t="s">
        <v>113</v>
      </c>
      <c r="C45" s="11"/>
      <c r="D45" s="11"/>
      <c r="E45" s="11"/>
      <c r="F45" s="11"/>
      <c r="G45" s="11"/>
      <c r="H45" s="11"/>
      <c r="I45" s="11"/>
      <c r="J45" s="11">
        <f>C40+L40</f>
        <v>732.20000000000027</v>
      </c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25">
      <c r="A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25">
      <c r="N47" t="s">
        <v>122</v>
      </c>
      <c r="O47">
        <v>50</v>
      </c>
    </row>
    <row r="48" spans="1:19" x14ac:dyDescent="0.25">
      <c r="N48" t="s">
        <v>125</v>
      </c>
      <c r="O48">
        <v>50</v>
      </c>
    </row>
    <row r="49" spans="14:16" x14ac:dyDescent="0.25">
      <c r="N49" t="s">
        <v>122</v>
      </c>
      <c r="O49">
        <v>35</v>
      </c>
    </row>
    <row r="50" spans="14:16" x14ac:dyDescent="0.25">
      <c r="N50" t="s">
        <v>123</v>
      </c>
      <c r="O50">
        <v>40</v>
      </c>
    </row>
    <row r="51" spans="14:16" x14ac:dyDescent="0.25">
      <c r="N51" t="s">
        <v>126</v>
      </c>
      <c r="O51">
        <v>50</v>
      </c>
      <c r="P51">
        <v>25</v>
      </c>
    </row>
    <row r="52" spans="14:16" x14ac:dyDescent="0.25">
      <c r="N52" t="s">
        <v>127</v>
      </c>
      <c r="O52">
        <v>10</v>
      </c>
    </row>
    <row r="55" spans="14:16" x14ac:dyDescent="0.25">
      <c r="N55" t="s">
        <v>124</v>
      </c>
    </row>
    <row r="58" spans="14:16" x14ac:dyDescent="0.25">
      <c r="N58" t="s">
        <v>6</v>
      </c>
      <c r="O58">
        <f>SUM(O47:O55)</f>
        <v>235</v>
      </c>
    </row>
    <row r="73" spans="2:3" x14ac:dyDescent="0.25">
      <c r="B73" s="14" t="s">
        <v>3</v>
      </c>
      <c r="C73" s="11">
        <v>1900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F098-822B-FA49-A177-B9E80AE1C1D2}">
  <dimension ref="A1:S74"/>
  <sheetViews>
    <sheetView workbookViewId="0">
      <selection activeCell="H19" sqref="H19"/>
    </sheetView>
  </sheetViews>
  <sheetFormatPr baseColWidth="10" defaultRowHeight="15.75" x14ac:dyDescent="0.25"/>
  <cols>
    <col min="2" max="2" width="11.625" bestFit="1" customWidth="1"/>
    <col min="5" max="5" width="20.125" customWidth="1"/>
    <col min="11" max="11" width="8.125" customWidth="1"/>
    <col min="13" max="13" width="18.125" customWidth="1"/>
    <col min="18" max="18" width="3.625" customWidth="1"/>
  </cols>
  <sheetData>
    <row r="1" spans="1:19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25">
      <c r="A3" s="10"/>
      <c r="B3" s="9"/>
      <c r="C3" s="11"/>
      <c r="D3" s="11"/>
      <c r="E3" s="11"/>
      <c r="F3" s="11"/>
      <c r="G3" s="11"/>
      <c r="H3" s="11"/>
      <c r="I3" s="11"/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19" x14ac:dyDescent="0.25">
      <c r="A4" s="10"/>
      <c r="B4" s="9"/>
      <c r="C4" s="11"/>
      <c r="D4" s="11"/>
      <c r="E4" s="13" t="s">
        <v>78</v>
      </c>
      <c r="F4" s="14" t="s">
        <v>7</v>
      </c>
      <c r="G4" s="11">
        <v>3330</v>
      </c>
      <c r="H4" s="11"/>
      <c r="I4" s="11"/>
      <c r="J4" s="12"/>
      <c r="K4" s="11"/>
      <c r="L4" s="11"/>
      <c r="M4" s="13" t="s">
        <v>80</v>
      </c>
      <c r="N4" s="14" t="s">
        <v>7</v>
      </c>
      <c r="O4" s="11">
        <v>1010</v>
      </c>
      <c r="P4" s="11"/>
      <c r="Q4" s="11"/>
      <c r="R4" s="11"/>
      <c r="S4" s="12"/>
    </row>
    <row r="5" spans="1:19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19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19" x14ac:dyDescent="0.25">
      <c r="A7" s="10"/>
      <c r="B7" s="9"/>
      <c r="C7" s="11"/>
      <c r="D7" s="11"/>
      <c r="E7" s="9" t="s">
        <v>0</v>
      </c>
      <c r="F7" s="11">
        <v>882</v>
      </c>
      <c r="G7" s="11"/>
      <c r="H7" s="9" t="s">
        <v>52</v>
      </c>
      <c r="I7" s="11">
        <v>60</v>
      </c>
      <c r="J7" s="12"/>
      <c r="K7" s="11"/>
      <c r="L7" s="11"/>
      <c r="M7" s="9" t="s">
        <v>69</v>
      </c>
      <c r="N7" s="11">
        <v>12</v>
      </c>
      <c r="O7" s="11"/>
      <c r="P7" s="9" t="s">
        <v>119</v>
      </c>
      <c r="Q7" s="11">
        <v>100</v>
      </c>
      <c r="R7" s="11"/>
      <c r="S7" s="12"/>
    </row>
    <row r="8" spans="1:19" x14ac:dyDescent="0.25">
      <c r="A8" s="10"/>
      <c r="B8" s="9"/>
      <c r="C8" s="11"/>
      <c r="D8" s="11"/>
      <c r="E8" s="9" t="s">
        <v>21</v>
      </c>
      <c r="F8" s="11">
        <v>72</v>
      </c>
      <c r="G8" s="11"/>
      <c r="H8" s="9" t="s">
        <v>137</v>
      </c>
      <c r="I8" s="11">
        <v>50</v>
      </c>
      <c r="J8" s="12"/>
      <c r="K8" s="11"/>
      <c r="L8" s="11"/>
      <c r="M8" s="9"/>
      <c r="N8" s="11"/>
      <c r="O8" s="11"/>
      <c r="P8" s="9"/>
      <c r="Q8" s="11"/>
      <c r="R8" s="11"/>
      <c r="S8" s="12"/>
    </row>
    <row r="9" spans="1:19" x14ac:dyDescent="0.25">
      <c r="A9" s="10"/>
      <c r="B9" s="9"/>
      <c r="C9" s="11"/>
      <c r="D9" s="11"/>
      <c r="E9" s="9" t="s">
        <v>3</v>
      </c>
      <c r="F9" s="11">
        <v>100</v>
      </c>
      <c r="G9" s="11"/>
      <c r="H9" s="9" t="s">
        <v>143</v>
      </c>
      <c r="I9" s="11">
        <v>17</v>
      </c>
      <c r="J9" s="12"/>
      <c r="K9" s="11"/>
      <c r="L9" s="11"/>
      <c r="M9" s="9" t="s">
        <v>71</v>
      </c>
      <c r="N9" s="11">
        <v>10</v>
      </c>
      <c r="O9" s="11"/>
      <c r="P9" s="9" t="s">
        <v>116</v>
      </c>
      <c r="Q9" s="11">
        <v>72.989999999999995</v>
      </c>
      <c r="R9" s="11"/>
      <c r="S9" s="12"/>
    </row>
    <row r="10" spans="1:19" x14ac:dyDescent="0.25">
      <c r="A10" s="10"/>
      <c r="B10" s="9"/>
      <c r="C10" s="11"/>
      <c r="D10" s="11"/>
      <c r="E10" s="9" t="s">
        <v>4</v>
      </c>
      <c r="F10" s="11">
        <v>96</v>
      </c>
      <c r="G10" s="11"/>
      <c r="H10" s="9" t="s">
        <v>146</v>
      </c>
      <c r="I10" s="11">
        <v>25</v>
      </c>
      <c r="J10" s="12"/>
      <c r="K10" s="11"/>
      <c r="L10" s="11"/>
      <c r="M10" s="9" t="s">
        <v>66</v>
      </c>
      <c r="N10" s="11">
        <v>50</v>
      </c>
      <c r="O10" s="11"/>
      <c r="P10" s="9" t="s">
        <v>140</v>
      </c>
      <c r="Q10" s="11">
        <v>200</v>
      </c>
      <c r="R10" s="11"/>
      <c r="S10" s="12"/>
    </row>
    <row r="11" spans="1:19" x14ac:dyDescent="0.25">
      <c r="A11" s="10"/>
      <c r="B11" s="9"/>
      <c r="C11" s="11"/>
      <c r="D11" s="11"/>
      <c r="E11" s="9" t="s">
        <v>5</v>
      </c>
      <c r="F11" s="11">
        <v>515</v>
      </c>
      <c r="G11" s="11"/>
      <c r="H11" s="9" t="s">
        <v>147</v>
      </c>
      <c r="I11" s="11">
        <v>9.9499999999999993</v>
      </c>
      <c r="J11" s="12"/>
      <c r="K11" s="11"/>
      <c r="L11" s="11"/>
      <c r="M11" s="9" t="s">
        <v>67</v>
      </c>
      <c r="N11" s="11">
        <v>70</v>
      </c>
      <c r="O11" s="11"/>
      <c r="P11" s="9" t="s">
        <v>118</v>
      </c>
      <c r="Q11" s="11">
        <v>90</v>
      </c>
      <c r="R11" s="11"/>
      <c r="S11" s="12"/>
    </row>
    <row r="12" spans="1:19" x14ac:dyDescent="0.25">
      <c r="A12" s="10"/>
      <c r="B12" s="9"/>
      <c r="C12" s="11"/>
      <c r="D12" s="11"/>
      <c r="E12" s="9" t="s">
        <v>2</v>
      </c>
      <c r="F12" s="11">
        <v>126</v>
      </c>
      <c r="G12" s="11"/>
      <c r="H12" s="9" t="s">
        <v>92</v>
      </c>
      <c r="I12" s="11">
        <v>16</v>
      </c>
      <c r="J12" s="12"/>
      <c r="K12" s="11"/>
      <c r="L12" s="11"/>
      <c r="M12" s="9" t="s">
        <v>68</v>
      </c>
      <c r="N12" s="11">
        <v>50</v>
      </c>
      <c r="O12" s="11"/>
      <c r="P12" s="9" t="s">
        <v>121</v>
      </c>
      <c r="Q12" s="11">
        <v>14</v>
      </c>
      <c r="R12" s="11"/>
      <c r="S12" s="12"/>
    </row>
    <row r="13" spans="1:19" x14ac:dyDescent="0.25">
      <c r="A13" s="10"/>
      <c r="B13" s="9"/>
      <c r="C13" s="11"/>
      <c r="D13" s="11"/>
      <c r="E13" s="9" t="s">
        <v>16</v>
      </c>
      <c r="F13" s="11">
        <v>280</v>
      </c>
      <c r="G13" s="11"/>
      <c r="H13" s="9" t="s">
        <v>148</v>
      </c>
      <c r="I13" s="11">
        <v>10</v>
      </c>
      <c r="J13" s="12"/>
      <c r="K13" s="11"/>
      <c r="L13" s="11"/>
      <c r="M13" s="9" t="s">
        <v>139</v>
      </c>
      <c r="N13" s="11">
        <v>14</v>
      </c>
      <c r="O13" s="11"/>
      <c r="P13" s="9"/>
      <c r="Q13" s="11"/>
      <c r="R13" s="11"/>
      <c r="S13" s="12"/>
    </row>
    <row r="14" spans="1:19" x14ac:dyDescent="0.25">
      <c r="A14" s="10"/>
      <c r="B14" s="9"/>
      <c r="C14" s="11"/>
      <c r="D14" s="11"/>
      <c r="E14" s="9" t="s">
        <v>39</v>
      </c>
      <c r="F14" s="11">
        <v>12</v>
      </c>
      <c r="G14" s="11"/>
      <c r="H14" s="9" t="s">
        <v>143</v>
      </c>
      <c r="I14" s="11">
        <v>13.5</v>
      </c>
      <c r="J14" s="12"/>
      <c r="K14" s="11"/>
      <c r="L14" s="11"/>
      <c r="M14" s="9"/>
      <c r="N14" s="11"/>
      <c r="O14" s="11"/>
      <c r="P14" s="9" t="s">
        <v>115</v>
      </c>
      <c r="Q14" s="11"/>
      <c r="R14" s="11"/>
      <c r="S14" s="12"/>
    </row>
    <row r="15" spans="1:19" x14ac:dyDescent="0.25">
      <c r="A15" s="10"/>
      <c r="B15" s="9"/>
      <c r="C15" s="11"/>
      <c r="D15" s="11"/>
      <c r="E15" s="9" t="s">
        <v>40</v>
      </c>
      <c r="F15" s="11">
        <v>10</v>
      </c>
      <c r="G15" s="11"/>
      <c r="H15" s="9" t="s">
        <v>149</v>
      </c>
      <c r="I15" s="11">
        <v>30</v>
      </c>
      <c r="J15" s="12"/>
      <c r="K15" s="11"/>
      <c r="L15" s="11"/>
      <c r="M15" s="9"/>
      <c r="N15" s="11"/>
      <c r="O15" s="11"/>
      <c r="P15" s="9" t="s">
        <v>85</v>
      </c>
      <c r="Q15" s="11">
        <v>67</v>
      </c>
      <c r="R15" s="11"/>
      <c r="S15" s="12"/>
    </row>
    <row r="16" spans="1:19" x14ac:dyDescent="0.25">
      <c r="A16" s="10"/>
      <c r="B16" s="9"/>
      <c r="C16" s="11"/>
      <c r="D16" s="11"/>
      <c r="E16" s="9" t="s">
        <v>48</v>
      </c>
      <c r="F16" s="11">
        <v>15</v>
      </c>
      <c r="G16" s="11"/>
      <c r="H16" s="11" t="s">
        <v>143</v>
      </c>
      <c r="I16" s="11">
        <v>27</v>
      </c>
      <c r="J16" s="12"/>
      <c r="K16" s="11"/>
      <c r="L16" s="11"/>
      <c r="M16" s="9"/>
      <c r="N16" s="11"/>
      <c r="O16" s="11"/>
      <c r="P16" s="11" t="s">
        <v>141</v>
      </c>
      <c r="Q16" s="11">
        <v>26</v>
      </c>
      <c r="R16" s="11"/>
      <c r="S16" s="12"/>
    </row>
    <row r="17" spans="1:19" x14ac:dyDescent="0.25">
      <c r="A17" s="10"/>
      <c r="B17" s="9"/>
      <c r="C17" s="11"/>
      <c r="D17" s="11"/>
      <c r="E17" s="9" t="s">
        <v>49</v>
      </c>
      <c r="F17" s="11">
        <v>15</v>
      </c>
      <c r="G17" s="11"/>
      <c r="H17" s="11" t="s">
        <v>92</v>
      </c>
      <c r="I17" s="11">
        <v>17</v>
      </c>
      <c r="J17" s="12"/>
      <c r="K17" s="11"/>
      <c r="L17" s="11"/>
      <c r="M17" s="9"/>
      <c r="N17" s="11"/>
      <c r="O17" s="11"/>
      <c r="P17" s="11" t="s">
        <v>125</v>
      </c>
      <c r="Q17" s="11">
        <v>12</v>
      </c>
      <c r="R17" s="11"/>
      <c r="S17" s="12"/>
    </row>
    <row r="18" spans="1:19" x14ac:dyDescent="0.25">
      <c r="A18" s="10"/>
      <c r="B18" s="9"/>
      <c r="C18" s="11"/>
      <c r="D18" s="11"/>
      <c r="E18" s="9" t="s">
        <v>49</v>
      </c>
      <c r="F18" s="11">
        <v>20</v>
      </c>
      <c r="G18" s="11"/>
      <c r="H18" s="11" t="s">
        <v>63</v>
      </c>
      <c r="I18" s="11">
        <v>55</v>
      </c>
      <c r="J18" s="12"/>
      <c r="K18" s="11"/>
      <c r="L18" s="11"/>
      <c r="M18" s="9"/>
      <c r="N18" s="11"/>
      <c r="O18" s="11"/>
      <c r="P18" s="11" t="s">
        <v>142</v>
      </c>
      <c r="Q18" s="11">
        <v>18</v>
      </c>
      <c r="R18" s="11"/>
      <c r="S18" s="12"/>
    </row>
    <row r="19" spans="1:19" x14ac:dyDescent="0.25">
      <c r="A19" s="10"/>
      <c r="B19" s="9"/>
      <c r="C19" s="11"/>
      <c r="D19" s="11"/>
      <c r="E19" s="9" t="s">
        <v>49</v>
      </c>
      <c r="F19" s="11">
        <v>3.99</v>
      </c>
      <c r="G19" s="11"/>
      <c r="H19" s="11"/>
      <c r="I19" s="11"/>
      <c r="J19" s="12"/>
      <c r="K19" s="11"/>
      <c r="L19" s="11"/>
      <c r="M19" s="9"/>
      <c r="N19" s="11"/>
      <c r="O19" s="11"/>
      <c r="P19" s="11" t="s">
        <v>144</v>
      </c>
      <c r="Q19" s="11">
        <v>25</v>
      </c>
      <c r="R19" s="11"/>
      <c r="S19" s="12"/>
    </row>
    <row r="20" spans="1:19" x14ac:dyDescent="0.25">
      <c r="A20" s="10"/>
      <c r="B20" s="9"/>
      <c r="C20" s="11"/>
      <c r="D20" s="11"/>
      <c r="E20" s="9" t="s">
        <v>51</v>
      </c>
      <c r="F20" s="11">
        <v>52</v>
      </c>
      <c r="G20" s="11"/>
      <c r="H20" s="11"/>
      <c r="I20" s="11"/>
      <c r="J20" s="12"/>
      <c r="K20" s="11"/>
      <c r="L20" s="11"/>
      <c r="M20" s="9"/>
      <c r="N20" s="11"/>
      <c r="O20" s="11"/>
      <c r="P20" s="11"/>
      <c r="Q20" s="11">
        <v>22</v>
      </c>
      <c r="R20" s="11"/>
      <c r="S20" s="12"/>
    </row>
    <row r="21" spans="1:19" x14ac:dyDescent="0.25">
      <c r="A21" s="10"/>
      <c r="B21" s="9"/>
      <c r="C21" s="11"/>
      <c r="D21" s="11"/>
      <c r="E21" s="9" t="s">
        <v>14</v>
      </c>
      <c r="F21" s="11">
        <v>500</v>
      </c>
      <c r="G21" s="11"/>
      <c r="H21" s="11"/>
      <c r="I21" s="11"/>
      <c r="J21" s="12"/>
      <c r="K21" s="11"/>
      <c r="L21" s="11"/>
      <c r="M21" s="9"/>
      <c r="N21" s="11"/>
      <c r="O21" s="11"/>
      <c r="P21" s="11" t="s">
        <v>101</v>
      </c>
      <c r="Q21" s="11">
        <v>15</v>
      </c>
      <c r="R21" s="11"/>
      <c r="S21" s="12"/>
    </row>
    <row r="22" spans="1:19" x14ac:dyDescent="0.25">
      <c r="A22" s="10"/>
      <c r="B22" s="9"/>
      <c r="C22" s="11"/>
      <c r="D22" s="11"/>
      <c r="E22" s="9" t="s">
        <v>73</v>
      </c>
      <c r="F22" s="11">
        <v>75</v>
      </c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9"/>
      <c r="C23" s="11"/>
      <c r="D23" s="11"/>
      <c r="E23" s="9" t="s">
        <v>27</v>
      </c>
      <c r="F23" s="11">
        <v>60</v>
      </c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9"/>
      <c r="C24" s="11"/>
      <c r="D24" s="11"/>
      <c r="E24" s="9" t="s">
        <v>114</v>
      </c>
      <c r="F24" s="11">
        <v>151</v>
      </c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9"/>
      <c r="C25" s="11"/>
      <c r="D25" s="11"/>
      <c r="E25" s="9" t="s">
        <v>138</v>
      </c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9"/>
      <c r="C26" s="11"/>
      <c r="D26" s="11"/>
      <c r="E26" s="11" t="s">
        <v>135</v>
      </c>
      <c r="F26" s="11">
        <v>50</v>
      </c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 t="s">
        <v>135</v>
      </c>
      <c r="F27" s="11">
        <v>30</v>
      </c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9" t="s">
        <v>136</v>
      </c>
      <c r="F28" s="11">
        <v>24</v>
      </c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9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0"/>
      <c r="B30" s="11"/>
      <c r="C30" s="11"/>
      <c r="D30" s="11"/>
      <c r="E30" s="9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2"/>
    </row>
    <row r="31" spans="1:19" x14ac:dyDescent="0.25">
      <c r="A31" s="10"/>
      <c r="B31" s="11"/>
      <c r="C31" s="11"/>
      <c r="D31" s="11"/>
      <c r="E31" s="9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  <c r="S31" s="12"/>
    </row>
    <row r="32" spans="1:19" x14ac:dyDescent="0.25">
      <c r="A32" s="10"/>
      <c r="B32" s="11"/>
      <c r="C32" s="11"/>
      <c r="D32" s="11"/>
      <c r="E32" s="9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  <c r="S32" s="12"/>
    </row>
    <row r="33" spans="1:19" x14ac:dyDescent="0.25">
      <c r="A33" s="10"/>
      <c r="B33" s="11"/>
      <c r="C33" s="11"/>
      <c r="D33" s="11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11"/>
      <c r="R33" s="11"/>
      <c r="S33" s="12"/>
    </row>
    <row r="34" spans="1:19" x14ac:dyDescent="0.25">
      <c r="A34" s="10"/>
      <c r="B34" s="14" t="s">
        <v>6</v>
      </c>
      <c r="C34" s="11">
        <f>SUM(C7:C32)</f>
        <v>0</v>
      </c>
      <c r="D34" s="11"/>
      <c r="E34" s="11"/>
      <c r="F34" s="11">
        <f>SUM(F7:F32)+150</f>
        <v>3238.99</v>
      </c>
      <c r="G34" s="11"/>
      <c r="H34" s="11"/>
      <c r="I34" s="11">
        <f>SUM(I7:I32)</f>
        <v>330.45</v>
      </c>
      <c r="J34" s="12"/>
      <c r="K34" s="11"/>
      <c r="L34" s="11"/>
      <c r="M34" s="11"/>
      <c r="N34" s="11">
        <f>SUM(N7:N32)</f>
        <v>206</v>
      </c>
      <c r="O34" s="11"/>
      <c r="P34" s="11"/>
      <c r="Q34" s="11">
        <f>SUM(Q7:Q31)</f>
        <v>661.99</v>
      </c>
      <c r="R34" s="11"/>
      <c r="S34" s="12"/>
    </row>
    <row r="35" spans="1:19" x14ac:dyDescent="0.25">
      <c r="A35" s="10"/>
      <c r="B35" s="11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  <c r="S35" s="12"/>
    </row>
    <row r="36" spans="1:19" x14ac:dyDescent="0.25">
      <c r="A36" s="10"/>
      <c r="B36" s="11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  <c r="S36" s="12"/>
    </row>
    <row r="37" spans="1:19" x14ac:dyDescent="0.25">
      <c r="A37" s="10"/>
      <c r="B37" s="11"/>
      <c r="C37" s="11"/>
      <c r="D37" s="11"/>
      <c r="E37" s="11"/>
      <c r="F37" s="11"/>
      <c r="G37" s="11"/>
      <c r="H37" s="11"/>
      <c r="I37" s="11"/>
      <c r="J37" s="12"/>
      <c r="K37" s="11"/>
      <c r="L37" s="11"/>
      <c r="M37" s="11"/>
      <c r="N37" s="11"/>
      <c r="O37" s="11"/>
      <c r="P37" s="11"/>
      <c r="Q37" s="11"/>
      <c r="R37" s="11"/>
      <c r="S37" s="12"/>
    </row>
    <row r="38" spans="1:19" x14ac:dyDescent="0.25">
      <c r="A38" s="10"/>
      <c r="B38" s="11"/>
      <c r="C38" s="14" t="s">
        <v>15</v>
      </c>
      <c r="D38" s="11">
        <f>C34+F34+I34</f>
        <v>3569.4399999999996</v>
      </c>
      <c r="E38" s="11"/>
      <c r="F38" s="11"/>
      <c r="G38" s="11"/>
      <c r="H38" s="11"/>
      <c r="I38" s="11"/>
      <c r="J38" s="12"/>
      <c r="K38" s="14" t="s">
        <v>6</v>
      </c>
      <c r="L38" s="11"/>
      <c r="M38" s="11"/>
      <c r="N38" s="11"/>
      <c r="O38" s="11"/>
      <c r="P38" s="11">
        <f>N34+Q34</f>
        <v>867.99</v>
      </c>
      <c r="Q38" s="11"/>
      <c r="R38" s="11"/>
      <c r="S38" s="12"/>
    </row>
    <row r="39" spans="1:19" x14ac:dyDescent="0.25">
      <c r="A39" s="10"/>
      <c r="B39" s="11"/>
      <c r="C39" s="11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  <c r="S39" s="12"/>
    </row>
    <row r="40" spans="1:19" x14ac:dyDescent="0.25">
      <c r="A40" s="10"/>
      <c r="B40" s="11"/>
      <c r="C40" s="11"/>
      <c r="D40" s="11"/>
      <c r="E40" s="11"/>
      <c r="F40" s="11"/>
      <c r="G40" s="11"/>
      <c r="H40" s="11"/>
      <c r="I40" s="11"/>
      <c r="J40" s="12"/>
      <c r="K40" s="11"/>
      <c r="L40" s="11"/>
      <c r="M40" s="11"/>
      <c r="N40" s="11"/>
      <c r="O40" s="11"/>
      <c r="P40" s="11"/>
      <c r="Q40" s="11"/>
      <c r="R40" s="11"/>
      <c r="S40" s="12"/>
    </row>
    <row r="41" spans="1:19" x14ac:dyDescent="0.25">
      <c r="A41" s="10"/>
      <c r="B41" s="14" t="s">
        <v>8</v>
      </c>
      <c r="C41" s="11">
        <f>G4-D38</f>
        <v>-239.4399999999996</v>
      </c>
      <c r="D41" s="11"/>
      <c r="E41" s="11"/>
      <c r="F41" s="11"/>
      <c r="G41" s="11"/>
      <c r="H41" s="11"/>
      <c r="I41" s="11"/>
      <c r="J41" s="12"/>
      <c r="K41" s="14" t="s">
        <v>99</v>
      </c>
      <c r="L41" s="11">
        <f>O4-P38</f>
        <v>142.01</v>
      </c>
      <c r="M41" s="11"/>
      <c r="N41" s="11"/>
      <c r="O41" s="11"/>
      <c r="P41" s="11"/>
      <c r="Q41" s="11"/>
      <c r="R41" s="11"/>
      <c r="S41" s="12"/>
    </row>
    <row r="42" spans="1:19" x14ac:dyDescent="0.25">
      <c r="A42" s="10"/>
      <c r="B42" s="11"/>
      <c r="C42" s="11"/>
      <c r="D42" s="11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  <c r="R42" s="11"/>
      <c r="S42" s="12"/>
    </row>
    <row r="43" spans="1:19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25">
      <c r="A46" s="9"/>
      <c r="B46" s="14" t="s">
        <v>113</v>
      </c>
      <c r="C46" s="11"/>
      <c r="D46" s="11"/>
      <c r="E46" s="11"/>
      <c r="F46" s="11"/>
      <c r="G46" s="11"/>
      <c r="H46" s="11"/>
      <c r="I46" s="11"/>
      <c r="J46" s="11">
        <f>C41+L41</f>
        <v>-97.429999999999609</v>
      </c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25">
      <c r="A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74" spans="2:3" x14ac:dyDescent="0.25">
      <c r="B74" s="14" t="s">
        <v>3</v>
      </c>
      <c r="C74" s="11">
        <v>2000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A910-AF69-BB4D-BFB9-C5E07AFF6C21}">
  <dimension ref="A1:S74"/>
  <sheetViews>
    <sheetView topLeftCell="A4" workbookViewId="0">
      <selection activeCell="F24" sqref="F24"/>
    </sheetView>
  </sheetViews>
  <sheetFormatPr baseColWidth="10" defaultRowHeight="15.75" x14ac:dyDescent="0.25"/>
  <cols>
    <col min="2" max="2" width="11.625" bestFit="1" customWidth="1"/>
    <col min="5" max="5" width="20.125" customWidth="1"/>
    <col min="8" max="8" width="15.625" bestFit="1" customWidth="1"/>
    <col min="11" max="11" width="8.125" customWidth="1"/>
    <col min="13" max="13" width="18.125" customWidth="1"/>
    <col min="16" max="16" width="15.625" bestFit="1" customWidth="1"/>
    <col min="18" max="18" width="3.625" customWidth="1"/>
  </cols>
  <sheetData>
    <row r="1" spans="1:19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25">
      <c r="A3" s="10"/>
      <c r="B3" s="9"/>
      <c r="C3" s="11"/>
      <c r="D3" s="11"/>
      <c r="E3" s="11"/>
      <c r="F3" s="11"/>
      <c r="G3" s="11"/>
      <c r="H3" s="11"/>
      <c r="I3" s="11"/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19" x14ac:dyDescent="0.25">
      <c r="A4" s="10"/>
      <c r="B4" s="9"/>
      <c r="C4" s="11"/>
      <c r="D4" s="11"/>
      <c r="E4" s="13" t="s">
        <v>78</v>
      </c>
      <c r="F4" s="14" t="s">
        <v>7</v>
      </c>
      <c r="G4" s="11">
        <v>3100</v>
      </c>
      <c r="H4" s="11"/>
      <c r="I4" s="11"/>
      <c r="J4" s="12"/>
      <c r="K4" s="11"/>
      <c r="L4" s="11"/>
      <c r="M4" s="13" t="s">
        <v>80</v>
      </c>
      <c r="N4" s="14" t="s">
        <v>7</v>
      </c>
      <c r="O4" s="11">
        <v>1010</v>
      </c>
      <c r="P4" s="11"/>
      <c r="Q4" s="11"/>
      <c r="R4" s="11"/>
      <c r="S4" s="12"/>
    </row>
    <row r="5" spans="1:19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19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19" x14ac:dyDescent="0.25">
      <c r="A7" s="10"/>
      <c r="B7" s="9"/>
      <c r="C7" s="11">
        <v>250</v>
      </c>
      <c r="D7" s="11"/>
      <c r="E7" s="9" t="s">
        <v>0</v>
      </c>
      <c r="F7" s="11">
        <v>882</v>
      </c>
      <c r="G7" s="11"/>
      <c r="H7" s="9" t="s">
        <v>52</v>
      </c>
      <c r="I7" s="11">
        <v>60</v>
      </c>
      <c r="J7" s="12"/>
      <c r="K7" s="11"/>
      <c r="L7" s="11"/>
      <c r="M7" s="9" t="s">
        <v>69</v>
      </c>
      <c r="N7" s="11">
        <v>12</v>
      </c>
      <c r="O7" s="11"/>
      <c r="P7" s="9" t="s">
        <v>119</v>
      </c>
      <c r="Q7" s="11">
        <v>100</v>
      </c>
      <c r="R7" s="11"/>
      <c r="S7" s="12"/>
    </row>
    <row r="8" spans="1:19" x14ac:dyDescent="0.25">
      <c r="A8" s="10"/>
      <c r="B8" s="9"/>
      <c r="C8" s="11"/>
      <c r="D8" s="11"/>
      <c r="E8" s="9" t="s">
        <v>21</v>
      </c>
      <c r="F8" s="11">
        <v>72</v>
      </c>
      <c r="G8" s="11"/>
      <c r="H8" s="9" t="s">
        <v>137</v>
      </c>
      <c r="I8" s="11">
        <v>50</v>
      </c>
      <c r="J8" s="12"/>
      <c r="K8" s="11"/>
      <c r="L8" s="11"/>
      <c r="M8" s="9"/>
      <c r="N8" s="11"/>
      <c r="O8" s="11"/>
      <c r="P8" s="9" t="s">
        <v>85</v>
      </c>
      <c r="Q8" s="11">
        <v>67</v>
      </c>
      <c r="R8" s="11"/>
      <c r="S8" s="12"/>
    </row>
    <row r="9" spans="1:19" x14ac:dyDescent="0.25">
      <c r="A9" s="10"/>
      <c r="B9" s="9"/>
      <c r="C9" s="11"/>
      <c r="D9" s="11"/>
      <c r="E9" s="9" t="s">
        <v>3</v>
      </c>
      <c r="F9" s="11">
        <v>100</v>
      </c>
      <c r="G9" s="11"/>
      <c r="H9" s="9" t="s">
        <v>150</v>
      </c>
      <c r="I9" s="11">
        <v>14</v>
      </c>
      <c r="J9" s="12"/>
      <c r="K9" s="11"/>
      <c r="L9" s="11"/>
      <c r="M9" s="9" t="s">
        <v>71</v>
      </c>
      <c r="N9" s="11">
        <v>10</v>
      </c>
      <c r="O9" s="11"/>
      <c r="P9" s="9" t="s">
        <v>145</v>
      </c>
      <c r="Q9" s="11">
        <v>250</v>
      </c>
      <c r="R9" s="11"/>
      <c r="S9" s="12"/>
    </row>
    <row r="10" spans="1:19" x14ac:dyDescent="0.25">
      <c r="A10" s="10"/>
      <c r="B10" s="9"/>
      <c r="C10" s="11"/>
      <c r="D10" s="11"/>
      <c r="E10" s="9" t="s">
        <v>4</v>
      </c>
      <c r="F10" s="11">
        <v>96</v>
      </c>
      <c r="G10" s="11"/>
      <c r="H10" s="9" t="s">
        <v>152</v>
      </c>
      <c r="I10" s="11">
        <v>110</v>
      </c>
      <c r="J10" s="12"/>
      <c r="K10" s="11"/>
      <c r="L10" s="11"/>
      <c r="M10" s="9" t="s">
        <v>66</v>
      </c>
      <c r="N10" s="11">
        <v>50</v>
      </c>
      <c r="O10" s="11"/>
      <c r="Q10" s="11">
        <v>100</v>
      </c>
      <c r="R10" s="11"/>
      <c r="S10" s="12"/>
    </row>
    <row r="11" spans="1:19" x14ac:dyDescent="0.25">
      <c r="A11" s="10"/>
      <c r="B11" s="9"/>
      <c r="C11" s="11"/>
      <c r="D11" s="11"/>
      <c r="E11" s="9" t="s">
        <v>5</v>
      </c>
      <c r="F11" s="11">
        <v>283</v>
      </c>
      <c r="G11" s="11"/>
      <c r="H11" s="9" t="s">
        <v>153</v>
      </c>
      <c r="I11" s="11">
        <v>7</v>
      </c>
      <c r="J11" s="12"/>
      <c r="K11" s="11"/>
      <c r="L11" s="11"/>
      <c r="M11" s="9" t="s">
        <v>67</v>
      </c>
      <c r="N11" s="11">
        <v>70</v>
      </c>
      <c r="O11" s="11"/>
      <c r="Q11" s="11">
        <v>48</v>
      </c>
      <c r="R11" s="11"/>
      <c r="S11" s="12"/>
    </row>
    <row r="12" spans="1:19" x14ac:dyDescent="0.25">
      <c r="A12" s="10"/>
      <c r="B12" s="9"/>
      <c r="C12" s="11"/>
      <c r="D12" s="11"/>
      <c r="E12" s="9" t="s">
        <v>2</v>
      </c>
      <c r="F12" s="11">
        <v>126</v>
      </c>
      <c r="G12" s="11"/>
      <c r="H12" s="9" t="s">
        <v>153</v>
      </c>
      <c r="I12" s="11">
        <v>7</v>
      </c>
      <c r="J12" s="12"/>
      <c r="K12" s="11"/>
      <c r="L12" s="11"/>
      <c r="M12" s="9" t="s">
        <v>68</v>
      </c>
      <c r="N12" s="11">
        <v>50</v>
      </c>
      <c r="O12" s="11"/>
      <c r="P12" s="9" t="s">
        <v>85</v>
      </c>
      <c r="Q12" s="11">
        <v>38</v>
      </c>
      <c r="R12" s="11"/>
      <c r="S12" s="12"/>
    </row>
    <row r="13" spans="1:19" x14ac:dyDescent="0.25">
      <c r="A13" s="10"/>
      <c r="B13" s="9"/>
      <c r="C13" s="11"/>
      <c r="D13" s="11"/>
      <c r="E13" s="9" t="s">
        <v>16</v>
      </c>
      <c r="F13" s="11">
        <v>310</v>
      </c>
      <c r="G13" s="11"/>
      <c r="H13" s="9" t="s">
        <v>153</v>
      </c>
      <c r="I13" s="11">
        <v>6</v>
      </c>
      <c r="J13" s="12"/>
      <c r="K13" s="11"/>
      <c r="L13" s="11"/>
      <c r="M13" s="9" t="s">
        <v>139</v>
      </c>
      <c r="N13" s="11">
        <v>14</v>
      </c>
      <c r="O13" s="11"/>
      <c r="P13" s="9" t="s">
        <v>85</v>
      </c>
      <c r="Q13" s="11">
        <v>17</v>
      </c>
      <c r="R13" s="11"/>
      <c r="S13" s="12"/>
    </row>
    <row r="14" spans="1:19" x14ac:dyDescent="0.25">
      <c r="A14" s="10"/>
      <c r="B14" s="9"/>
      <c r="C14" s="11"/>
      <c r="D14" s="11"/>
      <c r="E14" s="9" t="s">
        <v>39</v>
      </c>
      <c r="F14" s="11">
        <v>12</v>
      </c>
      <c r="G14" s="11"/>
      <c r="H14" s="9" t="s">
        <v>52</v>
      </c>
      <c r="I14" s="11">
        <v>10</v>
      </c>
      <c r="J14" s="12"/>
      <c r="K14" s="11"/>
      <c r="L14" s="11"/>
      <c r="M14" s="9"/>
      <c r="N14" s="11"/>
      <c r="O14" s="11"/>
      <c r="R14" s="11"/>
      <c r="S14" s="12"/>
    </row>
    <row r="15" spans="1:19" x14ac:dyDescent="0.25">
      <c r="A15" s="10"/>
      <c r="B15" s="9"/>
      <c r="C15" s="11"/>
      <c r="D15" s="11"/>
      <c r="E15" s="9" t="s">
        <v>40</v>
      </c>
      <c r="F15" s="11">
        <v>10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19" x14ac:dyDescent="0.25">
      <c r="A16" s="10"/>
      <c r="B16" s="9"/>
      <c r="C16" s="11"/>
      <c r="D16" s="11"/>
      <c r="E16" s="9" t="s">
        <v>48</v>
      </c>
      <c r="F16" s="11">
        <v>15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49</v>
      </c>
      <c r="F17" s="11">
        <v>15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9"/>
      <c r="C18" s="11"/>
      <c r="D18" s="11"/>
      <c r="E18" s="9" t="s">
        <v>49</v>
      </c>
      <c r="F18" s="11">
        <v>20</v>
      </c>
      <c r="G18" s="11"/>
      <c r="H18" s="11"/>
      <c r="I18" s="11"/>
      <c r="J18" s="12"/>
      <c r="K18" s="11"/>
      <c r="L18" s="11"/>
      <c r="M18" s="9"/>
      <c r="N18" s="11"/>
      <c r="O18" s="11"/>
      <c r="P18" s="11"/>
      <c r="Q18" s="11"/>
      <c r="R18" s="11"/>
      <c r="S18" s="12"/>
    </row>
    <row r="19" spans="1:19" x14ac:dyDescent="0.25">
      <c r="A19" s="10"/>
      <c r="B19" s="9"/>
      <c r="C19" s="11"/>
      <c r="D19" s="11"/>
      <c r="E19" s="9" t="s">
        <v>49</v>
      </c>
      <c r="F19" s="11">
        <v>3.99</v>
      </c>
      <c r="G19" s="11"/>
      <c r="H19" s="11"/>
      <c r="I19" s="11"/>
      <c r="J19" s="12"/>
      <c r="K19" s="11"/>
      <c r="L19" s="11"/>
      <c r="M19" s="9"/>
      <c r="N19" s="11"/>
      <c r="O19" s="11"/>
      <c r="P19" s="11"/>
      <c r="Q19" s="11"/>
      <c r="R19" s="11"/>
      <c r="S19" s="12"/>
    </row>
    <row r="20" spans="1:19" x14ac:dyDescent="0.25">
      <c r="A20" s="10"/>
      <c r="B20" s="9"/>
      <c r="C20" s="11"/>
      <c r="D20" s="11"/>
      <c r="E20" s="9" t="s">
        <v>51</v>
      </c>
      <c r="F20" s="11">
        <v>52</v>
      </c>
      <c r="G20" s="11"/>
      <c r="H20" s="11"/>
      <c r="I20" s="11"/>
      <c r="J20" s="12"/>
      <c r="K20" s="11"/>
      <c r="L20" s="11"/>
      <c r="M20" s="9"/>
      <c r="N20" s="11"/>
      <c r="O20" s="11"/>
      <c r="P20" s="11"/>
      <c r="Q20" s="11"/>
      <c r="R20" s="11"/>
      <c r="S20" s="12"/>
    </row>
    <row r="21" spans="1:19" x14ac:dyDescent="0.25">
      <c r="A21" s="10"/>
      <c r="B21" s="9"/>
      <c r="C21" s="11"/>
      <c r="D21" s="11"/>
      <c r="E21" s="9" t="s">
        <v>14</v>
      </c>
      <c r="F21" s="11">
        <v>500</v>
      </c>
      <c r="G21" s="11"/>
      <c r="H21" s="11"/>
      <c r="I21" s="11"/>
      <c r="J21" s="12"/>
      <c r="K21" s="11"/>
      <c r="L21" s="11"/>
      <c r="M21" s="9"/>
      <c r="N21" s="11"/>
      <c r="O21" s="11"/>
      <c r="P21" s="11"/>
      <c r="Q21" s="11"/>
      <c r="R21" s="11"/>
      <c r="S21" s="12"/>
    </row>
    <row r="22" spans="1:19" x14ac:dyDescent="0.25">
      <c r="A22" s="10"/>
      <c r="B22" s="9"/>
      <c r="C22" s="11"/>
      <c r="D22" s="11"/>
      <c r="E22" s="9" t="s">
        <v>73</v>
      </c>
      <c r="F22" s="11">
        <v>75</v>
      </c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9"/>
      <c r="C23" s="11"/>
      <c r="D23" s="11"/>
      <c r="E23" s="9" t="s">
        <v>27</v>
      </c>
      <c r="F23" s="11">
        <v>138</v>
      </c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9"/>
      <c r="C24" s="11"/>
      <c r="D24" s="11"/>
      <c r="E24" s="9" t="s">
        <v>114</v>
      </c>
      <c r="F24" s="11">
        <v>154</v>
      </c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9"/>
      <c r="C25" s="11"/>
      <c r="D25" s="11"/>
      <c r="E25" s="9" t="s">
        <v>151</v>
      </c>
      <c r="F25" s="11">
        <v>120</v>
      </c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9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9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9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0"/>
      <c r="B30" s="11"/>
      <c r="C30" s="11"/>
      <c r="D30" s="11"/>
      <c r="E30" s="9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2"/>
    </row>
    <row r="31" spans="1:19" x14ac:dyDescent="0.25">
      <c r="A31" s="10"/>
      <c r="B31" s="11"/>
      <c r="C31" s="11"/>
      <c r="D31" s="11"/>
      <c r="E31" s="9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  <c r="S31" s="12"/>
    </row>
    <row r="32" spans="1:19" x14ac:dyDescent="0.25">
      <c r="A32" s="10"/>
      <c r="B32" s="11"/>
      <c r="C32" s="11"/>
      <c r="D32" s="11"/>
      <c r="E32" s="9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  <c r="S32" s="12"/>
    </row>
    <row r="33" spans="1:19" x14ac:dyDescent="0.25">
      <c r="A33" s="10"/>
      <c r="B33" s="11"/>
      <c r="C33" s="11"/>
      <c r="D33" s="11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11"/>
      <c r="R33" s="11"/>
      <c r="S33" s="12"/>
    </row>
    <row r="34" spans="1:19" x14ac:dyDescent="0.25">
      <c r="A34" s="10"/>
      <c r="B34" s="14" t="s">
        <v>6</v>
      </c>
      <c r="C34" s="11">
        <f>SUM(C7:C32)</f>
        <v>250</v>
      </c>
      <c r="D34" s="11"/>
      <c r="E34" s="11"/>
      <c r="F34" s="11">
        <f>SUM(F7:F32)+150</f>
        <v>3133.99</v>
      </c>
      <c r="G34" s="11"/>
      <c r="H34" s="11"/>
      <c r="I34" s="11">
        <f>SUM(I7:I32)</f>
        <v>264</v>
      </c>
      <c r="J34" s="12"/>
      <c r="K34" s="11"/>
      <c r="L34" s="11"/>
      <c r="M34" s="11"/>
      <c r="N34" s="11">
        <f>SUM(N7:N32)</f>
        <v>206</v>
      </c>
      <c r="O34" s="11"/>
      <c r="P34" s="11"/>
      <c r="Q34" s="11">
        <f>SUM(Q7:Q31)</f>
        <v>620</v>
      </c>
      <c r="R34" s="11"/>
      <c r="S34" s="12"/>
    </row>
    <row r="35" spans="1:19" x14ac:dyDescent="0.25">
      <c r="A35" s="10"/>
      <c r="B35" s="11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  <c r="S35" s="12"/>
    </row>
    <row r="36" spans="1:19" x14ac:dyDescent="0.25">
      <c r="A36" s="10"/>
      <c r="B36" s="11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  <c r="S36" s="12"/>
    </row>
    <row r="37" spans="1:19" x14ac:dyDescent="0.25">
      <c r="A37" s="10"/>
      <c r="B37" s="11"/>
      <c r="C37" s="11"/>
      <c r="D37" s="11"/>
      <c r="E37" s="11"/>
      <c r="F37" s="11"/>
      <c r="G37" s="11"/>
      <c r="H37" s="11"/>
      <c r="I37" s="11"/>
      <c r="J37" s="12"/>
      <c r="K37" s="11"/>
      <c r="L37" s="11"/>
      <c r="M37" s="11"/>
      <c r="N37" s="11"/>
      <c r="O37" s="11"/>
      <c r="P37" s="11"/>
      <c r="Q37" s="11"/>
      <c r="R37" s="11"/>
      <c r="S37" s="12"/>
    </row>
    <row r="38" spans="1:19" x14ac:dyDescent="0.25">
      <c r="A38" s="10"/>
      <c r="B38" s="11"/>
      <c r="C38" s="14" t="s">
        <v>15</v>
      </c>
      <c r="D38" s="11">
        <f>C34+F34+I34</f>
        <v>3647.99</v>
      </c>
      <c r="E38" s="11"/>
      <c r="F38" s="11"/>
      <c r="G38" s="11"/>
      <c r="H38" s="11"/>
      <c r="I38" s="11"/>
      <c r="J38" s="12"/>
      <c r="K38" s="14" t="s">
        <v>6</v>
      </c>
      <c r="L38" s="11"/>
      <c r="M38" s="11"/>
      <c r="N38" s="11"/>
      <c r="O38" s="11"/>
      <c r="P38" s="11">
        <f>N34+Q34</f>
        <v>826</v>
      </c>
      <c r="Q38" s="11"/>
      <c r="R38" s="11"/>
      <c r="S38" s="12"/>
    </row>
    <row r="39" spans="1:19" x14ac:dyDescent="0.25">
      <c r="A39" s="10"/>
      <c r="B39" s="11"/>
      <c r="C39" s="11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  <c r="S39" s="12"/>
    </row>
    <row r="40" spans="1:19" x14ac:dyDescent="0.25">
      <c r="A40" s="10"/>
      <c r="B40" s="11"/>
      <c r="C40" s="11"/>
      <c r="D40" s="11"/>
      <c r="E40" s="11"/>
      <c r="F40" s="11"/>
      <c r="G40" s="11"/>
      <c r="H40" s="11"/>
      <c r="I40" s="11"/>
      <c r="J40" s="12"/>
      <c r="K40" s="11"/>
      <c r="L40" s="11"/>
      <c r="M40" s="11"/>
      <c r="N40" s="11"/>
      <c r="O40" s="11"/>
      <c r="P40" s="11"/>
      <c r="Q40" s="11"/>
      <c r="R40" s="11"/>
      <c r="S40" s="12"/>
    </row>
    <row r="41" spans="1:19" x14ac:dyDescent="0.25">
      <c r="A41" s="10"/>
      <c r="B41" s="14" t="s">
        <v>8</v>
      </c>
      <c r="C41" s="11">
        <f>G4-D38</f>
        <v>-547.98999999999978</v>
      </c>
      <c r="D41" s="11"/>
      <c r="E41" s="11"/>
      <c r="F41" s="11"/>
      <c r="G41" s="11"/>
      <c r="H41" s="11"/>
      <c r="I41" s="11"/>
      <c r="J41" s="12"/>
      <c r="K41" s="14" t="s">
        <v>99</v>
      </c>
      <c r="L41" s="11">
        <f>O4-P38</f>
        <v>184</v>
      </c>
      <c r="M41" s="11"/>
      <c r="N41" s="11"/>
      <c r="O41" s="11"/>
      <c r="P41" s="11"/>
      <c r="Q41" s="11"/>
      <c r="R41" s="11"/>
      <c r="S41" s="12"/>
    </row>
    <row r="42" spans="1:19" x14ac:dyDescent="0.25">
      <c r="A42" s="10"/>
      <c r="B42" s="11"/>
      <c r="C42" s="11"/>
      <c r="D42" s="11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  <c r="R42" s="11"/>
      <c r="S42" s="12"/>
    </row>
    <row r="43" spans="1:19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25">
      <c r="A46" s="9"/>
      <c r="B46" s="14" t="s">
        <v>113</v>
      </c>
      <c r="C46" s="11"/>
      <c r="D46" s="11"/>
      <c r="E46" s="11"/>
      <c r="F46" s="11"/>
      <c r="G46" s="11"/>
      <c r="H46" s="11"/>
      <c r="I46" s="11"/>
      <c r="J46" s="11">
        <f>C41+L41</f>
        <v>-363.98999999999978</v>
      </c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25">
      <c r="A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74" spans="2:3" x14ac:dyDescent="0.25">
      <c r="B74" s="14" t="s">
        <v>3</v>
      </c>
      <c r="C74" s="11">
        <v>2000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7620-C5D0-4BFD-8F70-437E7D884A0C}">
  <dimension ref="A1:T123"/>
  <sheetViews>
    <sheetView zoomScale="80" zoomScaleNormal="80" workbookViewId="0">
      <selection activeCell="C11" sqref="C11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214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>
        <f>H4+I4</f>
        <v>3500</v>
      </c>
      <c r="H4" s="11">
        <v>2000</v>
      </c>
      <c r="I4" s="11">
        <v>1500</v>
      </c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882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 t="s">
        <v>202</v>
      </c>
      <c r="C8" s="11">
        <v>1746</v>
      </c>
      <c r="D8" s="11"/>
      <c r="E8" s="9" t="s">
        <v>21</v>
      </c>
      <c r="F8" s="11">
        <v>72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146</v>
      </c>
      <c r="C9" s="11">
        <v>400</v>
      </c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212</v>
      </c>
      <c r="C10" s="11"/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206</v>
      </c>
      <c r="C11" s="11">
        <v>249</v>
      </c>
      <c r="D11" s="11"/>
      <c r="E11" s="9" t="s">
        <v>2</v>
      </c>
      <c r="F11" s="11">
        <v>50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207</v>
      </c>
      <c r="C12" s="11">
        <v>200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208</v>
      </c>
      <c r="C13" s="11">
        <v>500</v>
      </c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209</v>
      </c>
      <c r="C14" s="11">
        <v>200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 t="s">
        <v>215</v>
      </c>
      <c r="C15" s="11">
        <v>200</v>
      </c>
      <c r="D15" s="11"/>
      <c r="E15" s="9" t="s">
        <v>195</v>
      </c>
      <c r="F15" s="11">
        <v>90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 t="s">
        <v>198</v>
      </c>
      <c r="C16" s="11">
        <v>225</v>
      </c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/>
      <c r="F17" s="11"/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4" t="s">
        <v>6</v>
      </c>
      <c r="C20" s="11">
        <f>SUM(C7:C18)</f>
        <v>3720</v>
      </c>
      <c r="D20" s="11"/>
      <c r="E20" s="11"/>
      <c r="F20" s="11">
        <f>SUM(F7:F18)+100</f>
        <v>2202</v>
      </c>
      <c r="G20" s="11"/>
      <c r="H20" s="11"/>
      <c r="I20" s="11">
        <f>SUM(I7:I18)</f>
        <v>0</v>
      </c>
      <c r="J20" s="12"/>
      <c r="K20" s="11"/>
      <c r="L20" s="11"/>
      <c r="M20" s="11"/>
      <c r="N20" s="11">
        <f>SUM(N7:N18)</f>
        <v>976</v>
      </c>
      <c r="O20" s="11"/>
      <c r="P20" s="11"/>
      <c r="Q20" s="11">
        <f>SUM(Q7:Q17)</f>
        <v>0</v>
      </c>
      <c r="R20" s="11"/>
      <c r="S20" s="12"/>
    </row>
    <row r="21" spans="1:19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4" t="s">
        <v>15</v>
      </c>
      <c r="D24" s="11">
        <f>C20+F20+I20</f>
        <v>5922</v>
      </c>
      <c r="E24" s="11"/>
      <c r="F24" s="11"/>
      <c r="G24" s="11"/>
      <c r="H24" s="11"/>
      <c r="I24" s="11"/>
      <c r="J24" s="12"/>
      <c r="K24" s="14" t="s">
        <v>6</v>
      </c>
      <c r="L24" s="11"/>
      <c r="M24" s="11"/>
      <c r="N24" s="11"/>
      <c r="O24" s="11"/>
      <c r="P24" s="11">
        <f>N20+Q20</f>
        <v>976</v>
      </c>
      <c r="Q24" s="11"/>
      <c r="R24" s="11"/>
      <c r="S24" s="12"/>
    </row>
    <row r="25" spans="1:19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4" t="s">
        <v>8</v>
      </c>
      <c r="C27" s="11">
        <f>G4-D24</f>
        <v>-2422</v>
      </c>
      <c r="D27" s="11"/>
      <c r="E27" s="11"/>
      <c r="F27" s="11"/>
      <c r="G27" s="11"/>
      <c r="H27" s="11"/>
      <c r="I27" s="11"/>
      <c r="J27" s="12"/>
      <c r="K27" s="14" t="s">
        <v>99</v>
      </c>
      <c r="L27" s="11">
        <f>O4-P24</f>
        <v>504</v>
      </c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5">
      <c r="A32" s="9"/>
      <c r="B32" s="14" t="s">
        <v>113</v>
      </c>
      <c r="C32" s="11"/>
      <c r="D32" s="11"/>
      <c r="E32" s="11"/>
      <c r="F32" s="11"/>
      <c r="G32" s="11"/>
      <c r="H32" s="11"/>
      <c r="I32" s="11"/>
      <c r="J32" s="11">
        <f>C27+L27</f>
        <v>-1918</v>
      </c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60" spans="2:3" x14ac:dyDescent="0.25">
      <c r="B60" s="14" t="s">
        <v>3</v>
      </c>
      <c r="C60" s="11">
        <v>1900</v>
      </c>
    </row>
    <row r="96" spans="2:2" x14ac:dyDescent="0.25">
      <c r="B96">
        <v>3000</v>
      </c>
    </row>
    <row r="97" spans="2:16" x14ac:dyDescent="0.25">
      <c r="B97">
        <v>2500</v>
      </c>
      <c r="J97">
        <v>3000</v>
      </c>
    </row>
    <row r="98" spans="2:16" x14ac:dyDescent="0.25">
      <c r="B98">
        <v>2500</v>
      </c>
      <c r="J98">
        <v>600</v>
      </c>
    </row>
    <row r="99" spans="2:16" x14ac:dyDescent="0.25">
      <c r="B99">
        <v>800</v>
      </c>
    </row>
    <row r="100" spans="2:16" x14ac:dyDescent="0.25">
      <c r="B100">
        <v>700</v>
      </c>
    </row>
    <row r="104" spans="2:16" x14ac:dyDescent="0.25">
      <c r="B104">
        <f>SUM(B96:B100)</f>
        <v>9500</v>
      </c>
      <c r="D104">
        <f>B104-7000</f>
        <v>2500</v>
      </c>
    </row>
    <row r="105" spans="2:16" x14ac:dyDescent="0.25">
      <c r="P105">
        <v>126</v>
      </c>
    </row>
    <row r="106" spans="2:16" x14ac:dyDescent="0.25">
      <c r="P106" s="11">
        <v>12</v>
      </c>
    </row>
    <row r="107" spans="2:16" x14ac:dyDescent="0.25">
      <c r="P107" s="11">
        <v>10</v>
      </c>
    </row>
    <row r="108" spans="2:16" x14ac:dyDescent="0.25">
      <c r="P108" s="11">
        <v>20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3.99</v>
      </c>
    </row>
    <row r="112" spans="2:16" x14ac:dyDescent="0.25">
      <c r="P112" s="11">
        <v>100</v>
      </c>
    </row>
    <row r="113" spans="5:16" x14ac:dyDescent="0.25">
      <c r="E113">
        <v>1400</v>
      </c>
      <c r="P113" s="11">
        <v>75</v>
      </c>
    </row>
    <row r="114" spans="5:16" x14ac:dyDescent="0.25">
      <c r="E114">
        <v>1300</v>
      </c>
      <c r="P114" s="11">
        <v>60</v>
      </c>
    </row>
    <row r="115" spans="5:16" x14ac:dyDescent="0.25">
      <c r="E115">
        <v>950</v>
      </c>
      <c r="P115" s="11"/>
    </row>
    <row r="116" spans="5:16" x14ac:dyDescent="0.25">
      <c r="P116" s="11">
        <v>70</v>
      </c>
    </row>
    <row r="119" spans="5:16" x14ac:dyDescent="0.25">
      <c r="E119">
        <f>SUM(E113:E117)</f>
        <v>3650</v>
      </c>
    </row>
    <row r="123" spans="5:16" x14ac:dyDescent="0.25">
      <c r="P123">
        <f>SUM(P103:P120)</f>
        <v>516.99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EFCC-E2C1-4A63-A878-2F0184845ABE}">
  <dimension ref="A1:T123"/>
  <sheetViews>
    <sheetView zoomScale="84" workbookViewId="0">
      <selection activeCell="C8" sqref="C8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>
        <f>H4+I4</f>
        <v>3100</v>
      </c>
      <c r="H4" s="11">
        <v>1900</v>
      </c>
      <c r="I4" s="11">
        <v>1200</v>
      </c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>
        <v>2400</v>
      </c>
      <c r="D7" s="11"/>
      <c r="E7" s="9" t="s">
        <v>0</v>
      </c>
      <c r="F7" s="11">
        <v>882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 t="s">
        <v>202</v>
      </c>
      <c r="C8" s="11" t="s">
        <v>216</v>
      </c>
      <c r="D8" s="11"/>
      <c r="E8" s="9" t="s">
        <v>21</v>
      </c>
      <c r="F8" s="11">
        <v>72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146</v>
      </c>
      <c r="C9" s="11">
        <v>400</v>
      </c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213</v>
      </c>
      <c r="C10" s="11"/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/>
      <c r="C11" s="11"/>
      <c r="D11" s="11"/>
      <c r="E11" s="9" t="s">
        <v>2</v>
      </c>
      <c r="F11" s="11">
        <v>50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/>
      <c r="C12" s="11"/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/>
      <c r="C13" s="11"/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/>
      <c r="C14" s="11"/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195</v>
      </c>
      <c r="F15" s="11">
        <v>90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/>
      <c r="F17" s="11"/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4" t="s">
        <v>6</v>
      </c>
      <c r="C20" s="11">
        <f>SUM(C7:C18)</f>
        <v>2800</v>
      </c>
      <c r="D20" s="11"/>
      <c r="E20" s="11"/>
      <c r="F20" s="11">
        <f>SUM(F7:F18)+100</f>
        <v>2202</v>
      </c>
      <c r="G20" s="11"/>
      <c r="H20" s="11"/>
      <c r="I20" s="11">
        <f>SUM(I7:I18)</f>
        <v>0</v>
      </c>
      <c r="J20" s="12"/>
      <c r="K20" s="11"/>
      <c r="L20" s="11"/>
      <c r="M20" s="11"/>
      <c r="N20" s="11">
        <f>SUM(N7:N18)</f>
        <v>976</v>
      </c>
      <c r="O20" s="11"/>
      <c r="P20" s="11"/>
      <c r="Q20" s="11">
        <f>SUM(Q7:Q17)</f>
        <v>0</v>
      </c>
      <c r="R20" s="11"/>
      <c r="S20" s="12"/>
    </row>
    <row r="21" spans="1:19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4" t="s">
        <v>15</v>
      </c>
      <c r="D24" s="11">
        <f>C20+F20+I20</f>
        <v>5002</v>
      </c>
      <c r="E24" s="11"/>
      <c r="F24" s="11"/>
      <c r="G24" s="11"/>
      <c r="H24" s="11"/>
      <c r="I24" s="11"/>
      <c r="J24" s="12"/>
      <c r="K24" s="14" t="s">
        <v>6</v>
      </c>
      <c r="L24" s="11"/>
      <c r="M24" s="11"/>
      <c r="N24" s="11"/>
      <c r="O24" s="11"/>
      <c r="P24" s="11">
        <f>N20+Q20</f>
        <v>976</v>
      </c>
      <c r="Q24" s="11"/>
      <c r="R24" s="11"/>
      <c r="S24" s="12"/>
    </row>
    <row r="25" spans="1:19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4" t="s">
        <v>8</v>
      </c>
      <c r="C27" s="11">
        <f>G4-D24</f>
        <v>-1902</v>
      </c>
      <c r="D27" s="11"/>
      <c r="E27" s="11"/>
      <c r="F27" s="11"/>
      <c r="G27" s="11"/>
      <c r="H27" s="11"/>
      <c r="I27" s="11"/>
      <c r="J27" s="12"/>
      <c r="K27" s="14" t="s">
        <v>99</v>
      </c>
      <c r="L27" s="11">
        <f>O4-P24</f>
        <v>504</v>
      </c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5">
      <c r="A32" s="9"/>
      <c r="B32" s="14" t="s">
        <v>113</v>
      </c>
      <c r="C32" s="11"/>
      <c r="D32" s="11"/>
      <c r="E32" s="11"/>
      <c r="F32" s="11"/>
      <c r="G32" s="11"/>
      <c r="H32" s="11"/>
      <c r="I32" s="11"/>
      <c r="J32" s="11">
        <f>C27+L27</f>
        <v>-1398</v>
      </c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60" spans="2:3" x14ac:dyDescent="0.25">
      <c r="B60" s="14" t="s">
        <v>3</v>
      </c>
      <c r="C60" s="11">
        <v>1900</v>
      </c>
    </row>
    <row r="96" spans="2:2" x14ac:dyDescent="0.25">
      <c r="B96">
        <v>3000</v>
      </c>
    </row>
    <row r="97" spans="2:16" x14ac:dyDescent="0.25">
      <c r="B97">
        <v>2500</v>
      </c>
      <c r="J97">
        <v>3000</v>
      </c>
    </row>
    <row r="98" spans="2:16" x14ac:dyDescent="0.25">
      <c r="B98">
        <v>2500</v>
      </c>
      <c r="J98">
        <v>600</v>
      </c>
    </row>
    <row r="99" spans="2:16" x14ac:dyDescent="0.25">
      <c r="B99">
        <v>800</v>
      </c>
    </row>
    <row r="100" spans="2:16" x14ac:dyDescent="0.25">
      <c r="B100">
        <v>700</v>
      </c>
    </row>
    <row r="104" spans="2:16" x14ac:dyDescent="0.25">
      <c r="B104">
        <f>SUM(B96:B100)</f>
        <v>9500</v>
      </c>
      <c r="D104">
        <f>B104-7000</f>
        <v>2500</v>
      </c>
    </row>
    <row r="105" spans="2:16" x14ac:dyDescent="0.25">
      <c r="P105">
        <v>126</v>
      </c>
    </row>
    <row r="106" spans="2:16" x14ac:dyDescent="0.25">
      <c r="P106" s="11">
        <v>12</v>
      </c>
    </row>
    <row r="107" spans="2:16" x14ac:dyDescent="0.25">
      <c r="P107" s="11">
        <v>10</v>
      </c>
    </row>
    <row r="108" spans="2:16" x14ac:dyDescent="0.25">
      <c r="P108" s="11">
        <v>20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3.99</v>
      </c>
    </row>
    <row r="112" spans="2:16" x14ac:dyDescent="0.25">
      <c r="P112" s="11">
        <v>100</v>
      </c>
    </row>
    <row r="113" spans="5:16" x14ac:dyDescent="0.25">
      <c r="E113">
        <v>1400</v>
      </c>
      <c r="P113" s="11">
        <v>75</v>
      </c>
    </row>
    <row r="114" spans="5:16" x14ac:dyDescent="0.25">
      <c r="E114">
        <v>1300</v>
      </c>
      <c r="P114" s="11">
        <v>60</v>
      </c>
    </row>
    <row r="115" spans="5:16" x14ac:dyDescent="0.25">
      <c r="E115">
        <v>950</v>
      </c>
      <c r="P115" s="11"/>
    </row>
    <row r="116" spans="5:16" x14ac:dyDescent="0.25">
      <c r="P116" s="11">
        <v>70</v>
      </c>
    </row>
    <row r="119" spans="5:16" x14ac:dyDescent="0.25">
      <c r="E119">
        <f>SUM(E113:E117)</f>
        <v>3650</v>
      </c>
    </row>
    <row r="123" spans="5:16" x14ac:dyDescent="0.25">
      <c r="P123">
        <f>SUM(P103:P120)</f>
        <v>516.99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D6B5-EDB4-4F00-8178-BEA92D2455E4}">
  <dimension ref="A1:T123"/>
  <sheetViews>
    <sheetView topLeftCell="A4" zoomScale="80" zoomScaleNormal="80" workbookViewId="0">
      <selection sqref="A1:XFD1048576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>
        <f>H4+I4</f>
        <v>3100</v>
      </c>
      <c r="H4" s="11">
        <v>1900</v>
      </c>
      <c r="I4" s="11">
        <v>1200</v>
      </c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>
        <v>1900</v>
      </c>
      <c r="D7" s="11"/>
      <c r="E7" s="9" t="s">
        <v>0</v>
      </c>
      <c r="F7" s="11">
        <v>882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 t="s">
        <v>202</v>
      </c>
      <c r="C8" s="11" t="s">
        <v>216</v>
      </c>
      <c r="D8" s="11"/>
      <c r="E8" s="9" t="s">
        <v>21</v>
      </c>
      <c r="F8" s="11">
        <v>72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146</v>
      </c>
      <c r="C9" s="11">
        <v>400</v>
      </c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213</v>
      </c>
      <c r="C10" s="11">
        <v>150</v>
      </c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225</v>
      </c>
      <c r="C11" s="11">
        <v>1250</v>
      </c>
      <c r="D11" s="11"/>
      <c r="E11" s="9" t="s">
        <v>2</v>
      </c>
      <c r="F11" s="11">
        <v>50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/>
      <c r="C12" s="11">
        <v>-2000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/>
      <c r="C13" s="11"/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/>
      <c r="C14" s="11"/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195</v>
      </c>
      <c r="F15" s="11">
        <v>400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27</v>
      </c>
      <c r="F17" s="11">
        <v>90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4" t="s">
        <v>6</v>
      </c>
      <c r="C20" s="11">
        <f>SUM(C7:C18)</f>
        <v>1700</v>
      </c>
      <c r="D20" s="11"/>
      <c r="E20" s="11"/>
      <c r="F20" s="11">
        <f>SUM(F7:F18)+100</f>
        <v>2602</v>
      </c>
      <c r="G20" s="11"/>
      <c r="H20" s="11"/>
      <c r="I20" s="11">
        <f>SUM(I7:I18)</f>
        <v>0</v>
      </c>
      <c r="J20" s="12"/>
      <c r="K20" s="11"/>
      <c r="L20" s="11"/>
      <c r="M20" s="11"/>
      <c r="N20" s="11">
        <f>SUM(N7:N18)</f>
        <v>976</v>
      </c>
      <c r="O20" s="11"/>
      <c r="P20" s="11"/>
      <c r="Q20" s="11">
        <f>SUM(Q7:Q17)</f>
        <v>0</v>
      </c>
      <c r="R20" s="11"/>
      <c r="S20" s="12"/>
    </row>
    <row r="21" spans="1:19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4" t="s">
        <v>15</v>
      </c>
      <c r="D24" s="11">
        <f>C20+F20+I20</f>
        <v>4302</v>
      </c>
      <c r="E24" s="11"/>
      <c r="F24" s="11"/>
      <c r="G24" s="11"/>
      <c r="H24" s="11"/>
      <c r="I24" s="11"/>
      <c r="J24" s="12"/>
      <c r="K24" s="14" t="s">
        <v>6</v>
      </c>
      <c r="L24" s="11"/>
      <c r="M24" s="11"/>
      <c r="N24" s="11"/>
      <c r="O24" s="11"/>
      <c r="P24" s="11">
        <f>N20+Q20</f>
        <v>976</v>
      </c>
      <c r="Q24" s="11"/>
      <c r="R24" s="11"/>
      <c r="S24" s="12"/>
    </row>
    <row r="25" spans="1:19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4" t="s">
        <v>8</v>
      </c>
      <c r="C27" s="11">
        <f>G4-D24</f>
        <v>-1202</v>
      </c>
      <c r="D27" s="11"/>
      <c r="E27" s="11"/>
      <c r="F27" s="11"/>
      <c r="G27" s="11"/>
      <c r="H27" s="11"/>
      <c r="I27" s="11"/>
      <c r="J27" s="12"/>
      <c r="K27" s="14" t="s">
        <v>99</v>
      </c>
      <c r="L27" s="11">
        <f>O4-P24</f>
        <v>504</v>
      </c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5">
      <c r="A32" s="9"/>
      <c r="B32" s="14" t="s">
        <v>113</v>
      </c>
      <c r="C32" s="11"/>
      <c r="D32" s="11"/>
      <c r="E32" s="11"/>
      <c r="F32" s="11"/>
      <c r="G32" s="11"/>
      <c r="H32" s="11"/>
      <c r="I32" s="11"/>
      <c r="J32" s="11">
        <f>C27+L27</f>
        <v>-698</v>
      </c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60" spans="2:3" x14ac:dyDescent="0.25">
      <c r="B60" s="14" t="s">
        <v>3</v>
      </c>
      <c r="C60" s="11">
        <v>1900</v>
      </c>
    </row>
    <row r="96" spans="2:2" x14ac:dyDescent="0.25">
      <c r="B96">
        <v>3000</v>
      </c>
    </row>
    <row r="97" spans="2:16" x14ac:dyDescent="0.25">
      <c r="B97">
        <v>2500</v>
      </c>
      <c r="J97">
        <v>3000</v>
      </c>
    </row>
    <row r="98" spans="2:16" x14ac:dyDescent="0.25">
      <c r="B98">
        <v>2500</v>
      </c>
      <c r="J98">
        <v>600</v>
      </c>
    </row>
    <row r="99" spans="2:16" x14ac:dyDescent="0.25">
      <c r="B99">
        <v>800</v>
      </c>
    </row>
    <row r="100" spans="2:16" x14ac:dyDescent="0.25">
      <c r="B100">
        <v>700</v>
      </c>
    </row>
    <row r="104" spans="2:16" x14ac:dyDescent="0.25">
      <c r="B104">
        <f>SUM(B96:B100)</f>
        <v>9500</v>
      </c>
      <c r="D104">
        <f>B104-7000</f>
        <v>2500</v>
      </c>
    </row>
    <row r="105" spans="2:16" x14ac:dyDescent="0.25">
      <c r="P105">
        <v>126</v>
      </c>
    </row>
    <row r="106" spans="2:16" x14ac:dyDescent="0.25">
      <c r="P106" s="11">
        <v>12</v>
      </c>
    </row>
    <row r="107" spans="2:16" x14ac:dyDescent="0.25">
      <c r="P107" s="11">
        <v>10</v>
      </c>
    </row>
    <row r="108" spans="2:16" x14ac:dyDescent="0.25">
      <c r="P108" s="11">
        <v>20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3.99</v>
      </c>
    </row>
    <row r="112" spans="2:16" x14ac:dyDescent="0.25">
      <c r="P112" s="11">
        <v>100</v>
      </c>
    </row>
    <row r="113" spans="5:16" x14ac:dyDescent="0.25">
      <c r="E113">
        <v>1400</v>
      </c>
      <c r="P113" s="11">
        <v>75</v>
      </c>
    </row>
    <row r="114" spans="5:16" x14ac:dyDescent="0.25">
      <c r="E114">
        <v>1300</v>
      </c>
      <c r="P114" s="11">
        <v>60</v>
      </c>
    </row>
    <row r="115" spans="5:16" x14ac:dyDescent="0.25">
      <c r="E115">
        <v>950</v>
      </c>
      <c r="P115" s="11"/>
    </row>
    <row r="116" spans="5:16" x14ac:dyDescent="0.25">
      <c r="P116" s="11">
        <v>70</v>
      </c>
    </row>
    <row r="119" spans="5:16" x14ac:dyDescent="0.25">
      <c r="E119">
        <f>SUM(E113:E117)</f>
        <v>3650</v>
      </c>
    </row>
    <row r="123" spans="5:16" x14ac:dyDescent="0.25">
      <c r="P123">
        <f>SUM(P103:P120)</f>
        <v>516.99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8377-DA6D-4793-BFDF-E57BFC7E784F}">
  <dimension ref="A1:T123"/>
  <sheetViews>
    <sheetView topLeftCell="A10" zoomScale="90" zoomScaleNormal="90" workbookViewId="0">
      <selection activeCell="C16" sqref="C16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>
        <f>H4+I4</f>
        <v>3100</v>
      </c>
      <c r="H4" s="11">
        <v>1900</v>
      </c>
      <c r="I4" s="11">
        <v>1200</v>
      </c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>
        <v>1300</v>
      </c>
      <c r="D7" s="11"/>
      <c r="E7" s="9" t="s">
        <v>0</v>
      </c>
      <c r="F7" s="11">
        <v>882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 t="s">
        <v>202</v>
      </c>
      <c r="C8" s="11" t="s">
        <v>216</v>
      </c>
      <c r="D8" s="11"/>
      <c r="E8" s="9" t="s">
        <v>21</v>
      </c>
      <c r="F8" s="11">
        <v>72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146</v>
      </c>
      <c r="C9" s="11">
        <v>400</v>
      </c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213</v>
      </c>
      <c r="C10" s="11"/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205</v>
      </c>
      <c r="C11" s="11">
        <v>-500</v>
      </c>
      <c r="D11" s="11"/>
      <c r="E11" s="9" t="s">
        <v>2</v>
      </c>
      <c r="F11" s="11">
        <v>50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228</v>
      </c>
      <c r="C12" s="11">
        <v>-300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229</v>
      </c>
      <c r="C13" s="11">
        <v>380</v>
      </c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230</v>
      </c>
      <c r="C14" s="11">
        <v>198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 t="s">
        <v>231</v>
      </c>
      <c r="C15" s="11">
        <v>192</v>
      </c>
      <c r="D15" s="11"/>
      <c r="E15" s="9" t="s">
        <v>195</v>
      </c>
      <c r="F15" s="11">
        <v>450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 t="s">
        <v>231</v>
      </c>
      <c r="C16" s="11">
        <v>202</v>
      </c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27</v>
      </c>
      <c r="F17" s="11">
        <v>90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4" t="s">
        <v>6</v>
      </c>
      <c r="C20" s="11">
        <f>SUM(C7:C18)</f>
        <v>1872</v>
      </c>
      <c r="D20" s="11"/>
      <c r="E20" s="11"/>
      <c r="F20" s="11">
        <f>SUM(F7:F18)+100</f>
        <v>2652</v>
      </c>
      <c r="G20" s="11"/>
      <c r="H20" s="11"/>
      <c r="I20" s="11">
        <f>SUM(I7:I18)</f>
        <v>0</v>
      </c>
      <c r="J20" s="12"/>
      <c r="K20" s="11"/>
      <c r="L20" s="11"/>
      <c r="M20" s="11"/>
      <c r="N20" s="11">
        <f>SUM(N7:N18)</f>
        <v>976</v>
      </c>
      <c r="O20" s="11"/>
      <c r="P20" s="11"/>
      <c r="Q20" s="11">
        <f>SUM(Q7:Q17)</f>
        <v>0</v>
      </c>
      <c r="R20" s="11"/>
      <c r="S20" s="12"/>
    </row>
    <row r="21" spans="1:19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4" t="s">
        <v>15</v>
      </c>
      <c r="D24" s="11">
        <f>C20+F20+I20</f>
        <v>4524</v>
      </c>
      <c r="E24" s="11"/>
      <c r="F24" s="11"/>
      <c r="G24" s="11"/>
      <c r="H24" s="11"/>
      <c r="I24" s="11"/>
      <c r="J24" s="12"/>
      <c r="K24" s="14" t="s">
        <v>6</v>
      </c>
      <c r="L24" s="11"/>
      <c r="M24" s="11"/>
      <c r="N24" s="11"/>
      <c r="O24" s="11"/>
      <c r="P24" s="11">
        <f>N20+Q20</f>
        <v>976</v>
      </c>
      <c r="Q24" s="11"/>
      <c r="R24" s="11"/>
      <c r="S24" s="12"/>
    </row>
    <row r="25" spans="1:19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4" t="s">
        <v>227</v>
      </c>
      <c r="C27" s="11">
        <f>G4-D24</f>
        <v>-1424</v>
      </c>
      <c r="D27" s="11"/>
      <c r="E27" s="11"/>
      <c r="F27" s="11"/>
      <c r="G27" s="11"/>
      <c r="H27" s="11"/>
      <c r="I27" s="11"/>
      <c r="J27" s="12"/>
      <c r="K27" s="14" t="s">
        <v>99</v>
      </c>
      <c r="L27" s="11">
        <f>O4-P24</f>
        <v>504</v>
      </c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5">
      <c r="A32" s="9"/>
      <c r="B32" s="14" t="s">
        <v>113</v>
      </c>
      <c r="C32" s="11"/>
      <c r="D32" s="11"/>
      <c r="E32" s="11"/>
      <c r="F32" s="11"/>
      <c r="G32" s="11"/>
      <c r="H32" s="11"/>
      <c r="I32" s="11"/>
      <c r="J32" s="11">
        <f>C27+L27</f>
        <v>-920</v>
      </c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60" spans="2:3" x14ac:dyDescent="0.25">
      <c r="B60" s="14" t="s">
        <v>3</v>
      </c>
      <c r="C60" s="11">
        <v>1900</v>
      </c>
    </row>
    <row r="96" spans="2:2" x14ac:dyDescent="0.25">
      <c r="B96">
        <v>3000</v>
      </c>
    </row>
    <row r="97" spans="2:16" x14ac:dyDescent="0.25">
      <c r="B97">
        <v>2500</v>
      </c>
      <c r="J97">
        <v>3000</v>
      </c>
    </row>
    <row r="98" spans="2:16" x14ac:dyDescent="0.25">
      <c r="B98">
        <v>2500</v>
      </c>
      <c r="J98">
        <v>600</v>
      </c>
    </row>
    <row r="99" spans="2:16" x14ac:dyDescent="0.25">
      <c r="B99">
        <v>800</v>
      </c>
    </row>
    <row r="100" spans="2:16" x14ac:dyDescent="0.25">
      <c r="B100">
        <v>700</v>
      </c>
    </row>
    <row r="104" spans="2:16" x14ac:dyDescent="0.25">
      <c r="B104">
        <f>SUM(B96:B100)</f>
        <v>9500</v>
      </c>
      <c r="D104">
        <f>B104-7000</f>
        <v>2500</v>
      </c>
    </row>
    <row r="105" spans="2:16" x14ac:dyDescent="0.25">
      <c r="P105">
        <v>126</v>
      </c>
    </row>
    <row r="106" spans="2:16" x14ac:dyDescent="0.25">
      <c r="P106" s="11">
        <v>12</v>
      </c>
    </row>
    <row r="107" spans="2:16" x14ac:dyDescent="0.25">
      <c r="P107" s="11">
        <v>10</v>
      </c>
    </row>
    <row r="108" spans="2:16" x14ac:dyDescent="0.25">
      <c r="P108" s="11">
        <v>20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3.99</v>
      </c>
    </row>
    <row r="112" spans="2:16" x14ac:dyDescent="0.25">
      <c r="P112" s="11">
        <v>100</v>
      </c>
    </row>
    <row r="113" spans="5:16" x14ac:dyDescent="0.25">
      <c r="E113">
        <v>1400</v>
      </c>
      <c r="P113" s="11">
        <v>75</v>
      </c>
    </row>
    <row r="114" spans="5:16" x14ac:dyDescent="0.25">
      <c r="E114">
        <v>1300</v>
      </c>
      <c r="P114" s="11">
        <v>60</v>
      </c>
    </row>
    <row r="115" spans="5:16" x14ac:dyDescent="0.25">
      <c r="E115">
        <v>950</v>
      </c>
      <c r="P115" s="11"/>
    </row>
    <row r="116" spans="5:16" x14ac:dyDescent="0.25">
      <c r="P116" s="11">
        <v>70</v>
      </c>
    </row>
    <row r="119" spans="5:16" x14ac:dyDescent="0.25">
      <c r="E119">
        <f>SUM(E113:E117)</f>
        <v>3650</v>
      </c>
    </row>
    <row r="123" spans="5:16" x14ac:dyDescent="0.25">
      <c r="P123">
        <f>SUM(P103:P120)</f>
        <v>516.99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BA60-EBA4-4FC7-A38C-A5D075E1C354}">
  <dimension ref="A1:T123"/>
  <sheetViews>
    <sheetView topLeftCell="A19" workbookViewId="0">
      <selection activeCell="C13" sqref="C13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>
        <f>H4+I4</f>
        <v>3100</v>
      </c>
      <c r="H4" s="11">
        <v>1900</v>
      </c>
      <c r="I4" s="11">
        <v>1200</v>
      </c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>
        <v>1400</v>
      </c>
      <c r="D7" s="11"/>
      <c r="E7" s="9" t="s">
        <v>0</v>
      </c>
      <c r="F7" s="11">
        <v>882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 t="s">
        <v>202</v>
      </c>
      <c r="C8" s="11" t="s">
        <v>216</v>
      </c>
      <c r="D8" s="11"/>
      <c r="E8" s="9" t="s">
        <v>21</v>
      </c>
      <c r="F8" s="11">
        <v>72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146</v>
      </c>
      <c r="C9" s="11">
        <v>150</v>
      </c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213</v>
      </c>
      <c r="C10" s="11"/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232</v>
      </c>
      <c r="C11" s="11">
        <v>-500</v>
      </c>
      <c r="D11" s="11"/>
      <c r="E11" s="9" t="s">
        <v>2</v>
      </c>
      <c r="F11" s="11">
        <v>50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238</v>
      </c>
      <c r="C12" s="11">
        <v>100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239</v>
      </c>
      <c r="C13" s="11">
        <v>120</v>
      </c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/>
      <c r="C14" s="11"/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195</v>
      </c>
      <c r="F15" s="11"/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27</v>
      </c>
      <c r="F17" s="11">
        <v>90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4" t="s">
        <v>6</v>
      </c>
      <c r="C20" s="11">
        <f>SUM(C7:C18)</f>
        <v>1270</v>
      </c>
      <c r="D20" s="11"/>
      <c r="E20" s="11"/>
      <c r="F20" s="11">
        <f>SUM(F7:F18)+100</f>
        <v>2202</v>
      </c>
      <c r="G20" s="11"/>
      <c r="H20" s="11"/>
      <c r="I20" s="11">
        <f>SUM(I7:I18)</f>
        <v>0</v>
      </c>
      <c r="J20" s="12"/>
      <c r="K20" s="11"/>
      <c r="L20" s="11"/>
      <c r="M20" s="11"/>
      <c r="N20" s="11">
        <f>SUM(N7:N18)</f>
        <v>976</v>
      </c>
      <c r="O20" s="11"/>
      <c r="P20" s="11"/>
      <c r="Q20" s="11">
        <f>SUM(Q7:Q17)</f>
        <v>0</v>
      </c>
      <c r="R20" s="11"/>
      <c r="S20" s="12"/>
    </row>
    <row r="21" spans="1:19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4" t="s">
        <v>15</v>
      </c>
      <c r="D24" s="11">
        <f>C20+F20+I20</f>
        <v>3472</v>
      </c>
      <c r="E24" s="11"/>
      <c r="F24" s="11"/>
      <c r="G24" s="11"/>
      <c r="H24" s="11"/>
      <c r="I24" s="11"/>
      <c r="J24" s="12"/>
      <c r="K24" s="14" t="s">
        <v>6</v>
      </c>
      <c r="L24" s="11"/>
      <c r="M24" s="11"/>
      <c r="N24" s="11"/>
      <c r="O24" s="11"/>
      <c r="P24" s="11">
        <f>N20+Q20</f>
        <v>976</v>
      </c>
      <c r="Q24" s="11"/>
      <c r="R24" s="11"/>
      <c r="S24" s="12"/>
    </row>
    <row r="25" spans="1:19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4" t="s">
        <v>227</v>
      </c>
      <c r="C27" s="11">
        <f>G4-D24</f>
        <v>-372</v>
      </c>
      <c r="D27" s="11"/>
      <c r="E27" s="11"/>
      <c r="F27" s="11"/>
      <c r="G27" s="11"/>
      <c r="H27" s="11"/>
      <c r="I27" s="11"/>
      <c r="J27" s="12"/>
      <c r="K27" s="14" t="s">
        <v>99</v>
      </c>
      <c r="L27" s="11">
        <f>O4-P24</f>
        <v>504</v>
      </c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5">
      <c r="A32" s="9"/>
      <c r="B32" s="14" t="s">
        <v>113</v>
      </c>
      <c r="C32" s="11"/>
      <c r="D32" s="11"/>
      <c r="E32" s="11"/>
      <c r="F32" s="11"/>
      <c r="G32" s="11"/>
      <c r="H32" s="11"/>
      <c r="I32" s="11"/>
      <c r="J32" s="11">
        <f>C27+L27</f>
        <v>132</v>
      </c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60" spans="2:3" x14ac:dyDescent="0.25">
      <c r="B60" s="14" t="s">
        <v>3</v>
      </c>
      <c r="C60" s="11">
        <v>1900</v>
      </c>
    </row>
    <row r="96" spans="2:2" x14ac:dyDescent="0.25">
      <c r="B96">
        <v>3000</v>
      </c>
    </row>
    <row r="97" spans="2:16" x14ac:dyDescent="0.25">
      <c r="B97">
        <v>2500</v>
      </c>
      <c r="J97">
        <v>3000</v>
      </c>
    </row>
    <row r="98" spans="2:16" x14ac:dyDescent="0.25">
      <c r="B98">
        <v>2500</v>
      </c>
      <c r="J98">
        <v>600</v>
      </c>
    </row>
    <row r="99" spans="2:16" x14ac:dyDescent="0.25">
      <c r="B99">
        <v>800</v>
      </c>
    </row>
    <row r="100" spans="2:16" x14ac:dyDescent="0.25">
      <c r="B100">
        <v>700</v>
      </c>
    </row>
    <row r="104" spans="2:16" x14ac:dyDescent="0.25">
      <c r="B104">
        <f>SUM(B96:B100)</f>
        <v>9500</v>
      </c>
      <c r="D104">
        <f>B104-7000</f>
        <v>2500</v>
      </c>
    </row>
    <row r="105" spans="2:16" x14ac:dyDescent="0.25">
      <c r="P105">
        <v>126</v>
      </c>
    </row>
    <row r="106" spans="2:16" x14ac:dyDescent="0.25">
      <c r="P106" s="11">
        <v>12</v>
      </c>
    </row>
    <row r="107" spans="2:16" x14ac:dyDescent="0.25">
      <c r="P107" s="11">
        <v>10</v>
      </c>
    </row>
    <row r="108" spans="2:16" x14ac:dyDescent="0.25">
      <c r="P108" s="11">
        <v>20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3.99</v>
      </c>
    </row>
    <row r="112" spans="2:16" x14ac:dyDescent="0.25">
      <c r="P112" s="11">
        <v>100</v>
      </c>
    </row>
    <row r="113" spans="5:16" x14ac:dyDescent="0.25">
      <c r="E113">
        <v>1400</v>
      </c>
      <c r="P113" s="11">
        <v>75</v>
      </c>
    </row>
    <row r="114" spans="5:16" x14ac:dyDescent="0.25">
      <c r="E114">
        <v>1300</v>
      </c>
      <c r="P114" s="11">
        <v>60</v>
      </c>
    </row>
    <row r="115" spans="5:16" x14ac:dyDescent="0.25">
      <c r="E115">
        <v>950</v>
      </c>
      <c r="P115" s="11"/>
    </row>
    <row r="116" spans="5:16" x14ac:dyDescent="0.25">
      <c r="P116" s="11">
        <v>70</v>
      </c>
    </row>
    <row r="119" spans="5:16" x14ac:dyDescent="0.25">
      <c r="E119">
        <f>SUM(E113:E117)</f>
        <v>3650</v>
      </c>
    </row>
    <row r="123" spans="5:16" x14ac:dyDescent="0.25">
      <c r="P123">
        <f>SUM(P103:P120)</f>
        <v>516.99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5CB3-126C-4293-8B88-AAD682FCCD60}">
  <dimension ref="A1:T123"/>
  <sheetViews>
    <sheetView workbookViewId="0">
      <selection sqref="A1:XFD1048576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>
        <f>H4+I4</f>
        <v>3100</v>
      </c>
      <c r="H4" s="11">
        <v>1900</v>
      </c>
      <c r="I4" s="11">
        <v>1200</v>
      </c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>
        <v>380</v>
      </c>
      <c r="D7" s="11"/>
      <c r="E7" s="9" t="s">
        <v>0</v>
      </c>
      <c r="F7" s="11">
        <v>882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 t="s">
        <v>202</v>
      </c>
      <c r="C8" s="11" t="s">
        <v>216</v>
      </c>
      <c r="D8" s="11"/>
      <c r="E8" s="9" t="s">
        <v>21</v>
      </c>
      <c r="F8" s="11">
        <v>72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146</v>
      </c>
      <c r="C9" s="11">
        <v>200</v>
      </c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213</v>
      </c>
      <c r="C10" s="11"/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232</v>
      </c>
      <c r="C11" s="11"/>
      <c r="D11" s="11"/>
      <c r="E11" s="9" t="s">
        <v>2</v>
      </c>
      <c r="F11" s="11">
        <v>50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238</v>
      </c>
      <c r="C12" s="11"/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239</v>
      </c>
      <c r="C13" s="11"/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/>
      <c r="C14" s="11"/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195</v>
      </c>
      <c r="F15" s="11"/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27</v>
      </c>
      <c r="F17" s="11">
        <v>90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4" t="s">
        <v>6</v>
      </c>
      <c r="C20" s="11">
        <f>SUM(C7:C18)</f>
        <v>580</v>
      </c>
      <c r="D20" s="11"/>
      <c r="E20" s="11"/>
      <c r="F20" s="11">
        <f>SUM(F7:F18)+150</f>
        <v>2252</v>
      </c>
      <c r="G20" s="11"/>
      <c r="H20" s="11"/>
      <c r="I20" s="11">
        <f>SUM(I7:I18)</f>
        <v>0</v>
      </c>
      <c r="J20" s="12"/>
      <c r="K20" s="11"/>
      <c r="L20" s="11"/>
      <c r="M20" s="11"/>
      <c r="N20" s="11">
        <f>SUM(N7:N18)</f>
        <v>976</v>
      </c>
      <c r="O20" s="11"/>
      <c r="P20" s="11"/>
      <c r="Q20" s="11">
        <f>SUM(Q7:Q17)</f>
        <v>0</v>
      </c>
      <c r="R20" s="11"/>
      <c r="S20" s="12"/>
    </row>
    <row r="21" spans="1:19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4" t="s">
        <v>15</v>
      </c>
      <c r="D24" s="11">
        <f>C20+F20+I20</f>
        <v>2832</v>
      </c>
      <c r="E24" s="11"/>
      <c r="F24" s="11"/>
      <c r="G24" s="11"/>
      <c r="H24" s="11"/>
      <c r="I24" s="11"/>
      <c r="J24" s="12"/>
      <c r="K24" s="14" t="s">
        <v>6</v>
      </c>
      <c r="L24" s="11"/>
      <c r="M24" s="11"/>
      <c r="N24" s="11"/>
      <c r="O24" s="11"/>
      <c r="P24" s="11">
        <f>N20+Q20</f>
        <v>976</v>
      </c>
      <c r="Q24" s="11"/>
      <c r="R24" s="11"/>
      <c r="S24" s="12"/>
    </row>
    <row r="25" spans="1:19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4" t="s">
        <v>227</v>
      </c>
      <c r="C27" s="11">
        <f>G4-D24</f>
        <v>268</v>
      </c>
      <c r="D27" s="11"/>
      <c r="E27" s="11"/>
      <c r="F27" s="11"/>
      <c r="G27" s="11"/>
      <c r="H27" s="11"/>
      <c r="I27" s="11"/>
      <c r="J27" s="12"/>
      <c r="K27" s="14" t="s">
        <v>99</v>
      </c>
      <c r="L27" s="11">
        <f>O4-P24</f>
        <v>504</v>
      </c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5">
      <c r="A32" s="9"/>
      <c r="B32" s="14" t="s">
        <v>113</v>
      </c>
      <c r="C32" s="11"/>
      <c r="D32" s="11"/>
      <c r="E32" s="11"/>
      <c r="F32" s="11"/>
      <c r="G32" s="11"/>
      <c r="H32" s="11"/>
      <c r="I32" s="11"/>
      <c r="J32" s="11">
        <f>C27+L27</f>
        <v>772</v>
      </c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60" spans="2:3" x14ac:dyDescent="0.25">
      <c r="B60" s="14" t="s">
        <v>3</v>
      </c>
      <c r="C60" s="11">
        <v>1900</v>
      </c>
    </row>
    <row r="96" spans="2:2" x14ac:dyDescent="0.25">
      <c r="B96">
        <v>3000</v>
      </c>
    </row>
    <row r="97" spans="2:16" x14ac:dyDescent="0.25">
      <c r="B97">
        <v>2500</v>
      </c>
      <c r="J97">
        <v>3000</v>
      </c>
    </row>
    <row r="98" spans="2:16" x14ac:dyDescent="0.25">
      <c r="B98">
        <v>2500</v>
      </c>
      <c r="J98">
        <v>600</v>
      </c>
    </row>
    <row r="99" spans="2:16" x14ac:dyDescent="0.25">
      <c r="B99">
        <v>800</v>
      </c>
    </row>
    <row r="100" spans="2:16" x14ac:dyDescent="0.25">
      <c r="B100">
        <v>700</v>
      </c>
    </row>
    <row r="104" spans="2:16" x14ac:dyDescent="0.25">
      <c r="B104">
        <f>SUM(B96:B100)</f>
        <v>9500</v>
      </c>
      <c r="D104">
        <f>B104-7000</f>
        <v>2500</v>
      </c>
    </row>
    <row r="105" spans="2:16" x14ac:dyDescent="0.25">
      <c r="P105">
        <v>126</v>
      </c>
    </row>
    <row r="106" spans="2:16" x14ac:dyDescent="0.25">
      <c r="P106" s="11">
        <v>12</v>
      </c>
    </row>
    <row r="107" spans="2:16" x14ac:dyDescent="0.25">
      <c r="P107" s="11">
        <v>10</v>
      </c>
    </row>
    <row r="108" spans="2:16" x14ac:dyDescent="0.25">
      <c r="P108" s="11">
        <v>20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3.99</v>
      </c>
    </row>
    <row r="112" spans="2:16" x14ac:dyDescent="0.25">
      <c r="P112" s="11">
        <v>100</v>
      </c>
    </row>
    <row r="113" spans="5:16" x14ac:dyDescent="0.25">
      <c r="E113">
        <v>1400</v>
      </c>
      <c r="P113" s="11">
        <v>75</v>
      </c>
    </row>
    <row r="114" spans="5:16" x14ac:dyDescent="0.25">
      <c r="E114">
        <v>1300</v>
      </c>
      <c r="P114" s="11">
        <v>60</v>
      </c>
    </row>
    <row r="115" spans="5:16" x14ac:dyDescent="0.25">
      <c r="E115">
        <v>950</v>
      </c>
      <c r="P115" s="11"/>
    </row>
    <row r="116" spans="5:16" x14ac:dyDescent="0.25">
      <c r="P116" s="11">
        <v>70</v>
      </c>
    </row>
    <row r="119" spans="5:16" x14ac:dyDescent="0.25">
      <c r="E119">
        <f>SUM(E113:E117)</f>
        <v>3650</v>
      </c>
    </row>
    <row r="123" spans="5:16" x14ac:dyDescent="0.25">
      <c r="P123">
        <f>SUM(P103:P120)</f>
        <v>516.99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6170-A85A-4424-A731-7674D842F02C}">
  <dimension ref="A1:T124"/>
  <sheetViews>
    <sheetView topLeftCell="A15" zoomScale="88" workbookViewId="0">
      <selection activeCell="C28" sqref="C28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>
        <f>H4+I4</f>
        <v>1900</v>
      </c>
      <c r="H4" s="11">
        <v>1900</v>
      </c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>
        <v>0</v>
      </c>
      <c r="D7" s="11"/>
      <c r="E7" s="9" t="s">
        <v>0</v>
      </c>
      <c r="F7" s="11">
        <v>1002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 t="s">
        <v>21</v>
      </c>
      <c r="F8" s="11"/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146</v>
      </c>
      <c r="C9" s="11">
        <v>200</v>
      </c>
      <c r="D9" s="11"/>
      <c r="E9" s="9" t="s">
        <v>194</v>
      </c>
      <c r="F9" s="11"/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146</v>
      </c>
      <c r="C10" s="11">
        <v>80</v>
      </c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278</v>
      </c>
      <c r="C11" s="11">
        <v>1000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231</v>
      </c>
      <c r="C12" s="11">
        <v>150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/>
      <c r="C13" s="11"/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/>
      <c r="C14" s="11"/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195</v>
      </c>
      <c r="F15" s="11">
        <v>450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27</v>
      </c>
      <c r="F17" s="11">
        <v>90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 t="s">
        <v>272</v>
      </c>
      <c r="F18" s="11">
        <v>1250</v>
      </c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 t="s">
        <v>129</v>
      </c>
      <c r="F19" s="11">
        <v>50</v>
      </c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1430</v>
      </c>
      <c r="D21" s="11"/>
      <c r="E21" s="11"/>
      <c r="F21" s="11">
        <f>SUM(F7:F19)+150</f>
        <v>3857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5287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G4-D25</f>
        <v>-3387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/>
      <c r="D33" s="11"/>
      <c r="E33" s="11"/>
      <c r="F33" s="11"/>
      <c r="G33" s="11"/>
      <c r="H33" s="11"/>
      <c r="I33" s="11"/>
      <c r="J33" s="11">
        <f>C28+L28</f>
        <v>-2883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61" spans="2:3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8DE3-F5ED-4261-AAFF-974C4232EE82}">
  <dimension ref="A1:T124"/>
  <sheetViews>
    <sheetView topLeftCell="A12" workbookViewId="0">
      <selection activeCell="D27" sqref="D27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/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>
        <v>0</v>
      </c>
      <c r="D7" s="11"/>
      <c r="E7" s="9" t="s">
        <v>0</v>
      </c>
      <c r="F7" s="11">
        <v>1002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/>
      <c r="F8" s="11"/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301</v>
      </c>
      <c r="C9" s="11">
        <v>173</v>
      </c>
      <c r="D9" s="11"/>
      <c r="E9" s="9" t="s">
        <v>194</v>
      </c>
      <c r="F9" s="11">
        <v>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302</v>
      </c>
      <c r="C10" s="11">
        <v>763</v>
      </c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303</v>
      </c>
      <c r="C11" s="11">
        <v>717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304</v>
      </c>
      <c r="C12" s="11">
        <v>-1000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286</v>
      </c>
      <c r="C13" s="11">
        <v>686</v>
      </c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308</v>
      </c>
      <c r="C14" s="11">
        <v>-2500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 t="s">
        <v>308</v>
      </c>
      <c r="C15" s="11">
        <v>-1000</v>
      </c>
      <c r="D15" s="11"/>
      <c r="E15" s="9" t="s">
        <v>195</v>
      </c>
      <c r="F15" s="11">
        <v>450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27</v>
      </c>
      <c r="F17" s="11">
        <v>90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-2161</v>
      </c>
      <c r="D21" s="11"/>
      <c r="E21" s="11"/>
      <c r="F21" s="11">
        <f>SUM(F7:F19)+100</f>
        <v>2507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346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G4-D25</f>
        <v>-346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/>
      <c r="D33" s="11"/>
      <c r="E33" s="11"/>
      <c r="F33" s="11"/>
      <c r="G33" s="11"/>
      <c r="H33" s="11"/>
      <c r="I33" s="11"/>
      <c r="J33" s="11">
        <f>C28+L28</f>
        <v>158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61" spans="2:3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AF8C-947E-4356-B4C4-480E7AC7BE5D}">
  <dimension ref="A1:T124"/>
  <sheetViews>
    <sheetView topLeftCell="A18" workbookViewId="0">
      <selection activeCell="C18" sqref="C18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/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>
        <v>0</v>
      </c>
      <c r="D7" s="11"/>
      <c r="E7" s="9" t="s">
        <v>0</v>
      </c>
      <c r="F7" s="11">
        <v>1002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/>
      <c r="F8" s="11"/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315</v>
      </c>
      <c r="C9" s="11">
        <v>350</v>
      </c>
      <c r="D9" s="11"/>
      <c r="E9" s="9" t="s">
        <v>194</v>
      </c>
      <c r="F9" s="11">
        <v>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316</v>
      </c>
      <c r="C10" s="11">
        <v>80</v>
      </c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317</v>
      </c>
      <c r="C11" s="11">
        <v>123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318</v>
      </c>
      <c r="C12" s="11">
        <v>191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322</v>
      </c>
      <c r="C13" s="11">
        <v>-3500</v>
      </c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322</v>
      </c>
      <c r="C14" s="11">
        <v>-2000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 t="s">
        <v>323</v>
      </c>
      <c r="C15" s="11">
        <v>1250</v>
      </c>
      <c r="D15" s="11"/>
      <c r="E15" s="9" t="s">
        <v>195</v>
      </c>
      <c r="F15" s="11">
        <v>450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 t="s">
        <v>3</v>
      </c>
      <c r="C16" s="11">
        <v>1000</v>
      </c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 t="s">
        <v>212</v>
      </c>
      <c r="C17" s="11"/>
      <c r="D17" s="11"/>
      <c r="E17" s="9" t="s">
        <v>27</v>
      </c>
      <c r="F17" s="11">
        <v>90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 t="s">
        <v>36</v>
      </c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-2506</v>
      </c>
      <c r="D21" s="11"/>
      <c r="E21" s="11"/>
      <c r="F21" s="11">
        <f>SUM(F7:F19)+100</f>
        <v>2507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1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ABS(G4-D25)</f>
        <v>1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/>
      <c r="D33" s="11"/>
      <c r="E33" s="11"/>
      <c r="F33" s="11"/>
      <c r="G33" s="11"/>
      <c r="H33" s="11"/>
      <c r="I33" s="11"/>
      <c r="J33" s="11">
        <f>C28+L28</f>
        <v>505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61" spans="2:3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CF61-A2D9-42E5-875A-94EAF9A3757F}">
  <dimension ref="A1:T124"/>
  <sheetViews>
    <sheetView workbookViewId="0">
      <selection activeCell="C14" sqref="C14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/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1002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/>
      <c r="F8" s="11"/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52</v>
      </c>
      <c r="C9" s="11">
        <f>70*6</f>
        <v>420</v>
      </c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355</v>
      </c>
      <c r="C10" s="11">
        <v>177</v>
      </c>
      <c r="D10" s="11"/>
      <c r="E10" s="9" t="s">
        <v>5</v>
      </c>
      <c r="F10" s="11">
        <v>283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357</v>
      </c>
      <c r="C11" s="11">
        <v>200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358</v>
      </c>
      <c r="C12" s="11">
        <v>450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359</v>
      </c>
      <c r="C13" s="11">
        <v>200</v>
      </c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360</v>
      </c>
      <c r="C14" s="11">
        <v>200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195</v>
      </c>
      <c r="F15" s="11">
        <v>500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129</v>
      </c>
      <c r="F17" s="11">
        <v>300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 t="s">
        <v>356</v>
      </c>
      <c r="F18" s="11">
        <v>1000</v>
      </c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1647</v>
      </c>
      <c r="D21" s="11"/>
      <c r="E21" s="11"/>
      <c r="F21" s="11">
        <f>SUM(F7:F19)+150</f>
        <v>4117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5764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ABS(G4-D25)</f>
        <v>5764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/>
      <c r="D33" s="11"/>
      <c r="E33" s="11"/>
      <c r="F33" s="11"/>
      <c r="G33" s="11"/>
      <c r="H33" s="11"/>
      <c r="I33" s="11"/>
      <c r="J33" s="11">
        <f>C28+L28</f>
        <v>6268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61" spans="2:3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D329-0DC1-498B-A790-1EB77A8023CA}">
  <dimension ref="A1:T124"/>
  <sheetViews>
    <sheetView workbookViewId="0">
      <selection activeCell="J52" sqref="A1:XFD1048576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>
        <v>24000</v>
      </c>
      <c r="H4" s="11"/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1012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/>
      <c r="F8" s="11"/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52</v>
      </c>
      <c r="C9" s="11">
        <v>150</v>
      </c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355</v>
      </c>
      <c r="C10" s="11">
        <v>50</v>
      </c>
      <c r="D10" s="11"/>
      <c r="E10" s="9"/>
      <c r="F10" s="11"/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363</v>
      </c>
      <c r="C11" s="11">
        <v>206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375</v>
      </c>
      <c r="C12" s="11">
        <v>100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52</v>
      </c>
      <c r="C13" s="11">
        <v>70</v>
      </c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16</v>
      </c>
      <c r="C14" s="11">
        <v>800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195</v>
      </c>
      <c r="F15" s="11">
        <v>500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203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 t="s">
        <v>386</v>
      </c>
      <c r="F17" s="11">
        <f>M38</f>
        <v>22002</v>
      </c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 t="s">
        <v>356</v>
      </c>
      <c r="F18" s="11">
        <v>1000</v>
      </c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1376</v>
      </c>
      <c r="D21" s="11"/>
      <c r="E21" s="11"/>
      <c r="F21" s="11">
        <f>SUM(F7:F19)+150</f>
        <v>25546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26922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ABS(G4-D25)</f>
        <v>2922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/>
      <c r="D33" s="11"/>
      <c r="E33" s="11"/>
      <c r="F33" s="11"/>
      <c r="G33" s="11"/>
      <c r="H33" s="11"/>
      <c r="I33" s="11"/>
      <c r="J33" s="11">
        <f>C28+L28</f>
        <v>3426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5">
      <c r="E35">
        <f>5.2+13.8+10.96+13+13+21+6.99+47+62+12+68+40</f>
        <v>312.95</v>
      </c>
    </row>
    <row r="38" spans="1:19" x14ac:dyDescent="0.25">
      <c r="I38" t="s">
        <v>376</v>
      </c>
      <c r="J38">
        <v>39</v>
      </c>
      <c r="L38" t="s">
        <v>382</v>
      </c>
      <c r="M38">
        <f>SUM(J38:J57)</f>
        <v>22002</v>
      </c>
    </row>
    <row r="39" spans="1:19" ht="16.5" x14ac:dyDescent="0.3">
      <c r="E39" s="22" t="s">
        <v>364</v>
      </c>
      <c r="F39">
        <v>500</v>
      </c>
      <c r="I39" t="s">
        <v>377</v>
      </c>
      <c r="J39">
        <v>100</v>
      </c>
    </row>
    <row r="40" spans="1:19" ht="16.5" x14ac:dyDescent="0.3">
      <c r="E40" s="22" t="s">
        <v>365</v>
      </c>
      <c r="F40">
        <v>800</v>
      </c>
      <c r="I40" t="s">
        <v>378</v>
      </c>
      <c r="J40">
        <v>21</v>
      </c>
    </row>
    <row r="41" spans="1:19" ht="16.5" x14ac:dyDescent="0.3">
      <c r="E41" s="22" t="s">
        <v>366</v>
      </c>
      <c r="F41">
        <v>200</v>
      </c>
      <c r="I41" t="s">
        <v>379</v>
      </c>
      <c r="J41">
        <v>20</v>
      </c>
    </row>
    <row r="42" spans="1:19" ht="16.5" x14ac:dyDescent="0.3">
      <c r="E42" s="22" t="s">
        <v>367</v>
      </c>
      <c r="F42">
        <v>2000</v>
      </c>
      <c r="I42" t="s">
        <v>380</v>
      </c>
      <c r="J42">
        <v>20</v>
      </c>
    </row>
    <row r="43" spans="1:19" ht="16.5" x14ac:dyDescent="0.3">
      <c r="E43" s="22" t="s">
        <v>373</v>
      </c>
      <c r="F43">
        <v>500</v>
      </c>
      <c r="I43" t="s">
        <v>380</v>
      </c>
      <c r="J43">
        <v>27</v>
      </c>
    </row>
    <row r="44" spans="1:19" ht="16.5" x14ac:dyDescent="0.3">
      <c r="E44" s="22" t="s">
        <v>368</v>
      </c>
      <c r="F44">
        <v>100</v>
      </c>
      <c r="I44" t="s">
        <v>381</v>
      </c>
      <c r="J44">
        <v>67</v>
      </c>
    </row>
    <row r="45" spans="1:19" ht="16.5" x14ac:dyDescent="0.3">
      <c r="E45" s="22" t="s">
        <v>369</v>
      </c>
      <c r="F45">
        <v>67</v>
      </c>
      <c r="I45" t="s">
        <v>101</v>
      </c>
      <c r="J45">
        <v>28</v>
      </c>
    </row>
    <row r="46" spans="1:19" ht="16.5" x14ac:dyDescent="0.3">
      <c r="E46" s="22" t="s">
        <v>370</v>
      </c>
      <c r="F46">
        <v>50</v>
      </c>
      <c r="I46" t="s">
        <v>383</v>
      </c>
      <c r="J46">
        <v>31</v>
      </c>
    </row>
    <row r="47" spans="1:19" ht="16.5" x14ac:dyDescent="0.3">
      <c r="E47" s="22" t="s">
        <v>371</v>
      </c>
      <c r="F47">
        <v>70</v>
      </c>
      <c r="I47" t="s">
        <v>384</v>
      </c>
      <c r="J47">
        <v>32</v>
      </c>
    </row>
    <row r="48" spans="1:19" ht="16.5" x14ac:dyDescent="0.3">
      <c r="E48" s="22" t="s">
        <v>372</v>
      </c>
      <c r="F48">
        <v>300</v>
      </c>
      <c r="I48" t="s">
        <v>385</v>
      </c>
      <c r="J48">
        <v>46</v>
      </c>
    </row>
    <row r="49" spans="2:10" ht="16.5" x14ac:dyDescent="0.3">
      <c r="E49" s="22" t="s">
        <v>374</v>
      </c>
      <c r="F49">
        <v>100</v>
      </c>
      <c r="I49" t="s">
        <v>108</v>
      </c>
      <c r="J49">
        <v>20914</v>
      </c>
    </row>
    <row r="50" spans="2:10" x14ac:dyDescent="0.25">
      <c r="I50" t="s">
        <v>387</v>
      </c>
      <c r="J50">
        <v>357</v>
      </c>
    </row>
    <row r="51" spans="2:10" x14ac:dyDescent="0.25">
      <c r="J51">
        <v>300</v>
      </c>
    </row>
    <row r="53" spans="2:10" x14ac:dyDescent="0.25">
      <c r="F53">
        <f>SUM(F39:F49)</f>
        <v>4687</v>
      </c>
    </row>
    <row r="61" spans="2:10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2F89-A56A-4328-AFC1-09E73433F3F3}">
  <dimension ref="A1:T124"/>
  <sheetViews>
    <sheetView workbookViewId="0">
      <selection activeCell="C12" sqref="A1:XFD1048576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>
        <v>6715</v>
      </c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1012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 t="s">
        <v>388</v>
      </c>
      <c r="F8" s="11">
        <v>1000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52</v>
      </c>
      <c r="C9" s="11"/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389</v>
      </c>
      <c r="C10" s="11">
        <v>200</v>
      </c>
      <c r="D10" s="11"/>
      <c r="E10" s="9" t="s">
        <v>355</v>
      </c>
      <c r="F10" s="11">
        <v>50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363</v>
      </c>
      <c r="C11" s="11">
        <v>229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375</v>
      </c>
      <c r="C12" s="11"/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52</v>
      </c>
      <c r="C13" s="11"/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16</v>
      </c>
      <c r="C14" s="11"/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203</v>
      </c>
      <c r="F15" s="11">
        <v>100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/>
      <c r="F16" s="11"/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/>
      <c r="F17" s="11"/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429</v>
      </c>
      <c r="D21" s="11"/>
      <c r="E21" s="11"/>
      <c r="F21" s="11">
        <f>SUM(F7:F19)+150</f>
        <v>3094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3523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ABS(G4-D25)</f>
        <v>3523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>
        <f>H4-D25</f>
        <v>3192</v>
      </c>
      <c r="D33" s="11"/>
      <c r="E33" s="11"/>
      <c r="F33" s="11"/>
      <c r="G33" s="11"/>
      <c r="H33" s="11"/>
      <c r="I33" s="11"/>
      <c r="J33" s="11">
        <f>C28+L28</f>
        <v>4027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5">
      <c r="E35">
        <f>5.2+13.8+10.96+13+13+21+6.99+47+62+12+68+40</f>
        <v>312.95</v>
      </c>
    </row>
    <row r="38" spans="1:19" x14ac:dyDescent="0.25">
      <c r="I38" t="s">
        <v>376</v>
      </c>
      <c r="J38">
        <v>39</v>
      </c>
      <c r="L38" t="s">
        <v>382</v>
      </c>
      <c r="M38">
        <f>SUM(J38:J57)</f>
        <v>22002</v>
      </c>
    </row>
    <row r="39" spans="1:19" ht="16.5" x14ac:dyDescent="0.3">
      <c r="E39" s="22" t="s">
        <v>364</v>
      </c>
      <c r="F39">
        <v>500</v>
      </c>
      <c r="I39" t="s">
        <v>377</v>
      </c>
      <c r="J39">
        <v>100</v>
      </c>
    </row>
    <row r="40" spans="1:19" ht="16.5" x14ac:dyDescent="0.3">
      <c r="E40" s="22" t="s">
        <v>365</v>
      </c>
      <c r="F40">
        <v>800</v>
      </c>
      <c r="I40" t="s">
        <v>378</v>
      </c>
      <c r="J40">
        <v>21</v>
      </c>
    </row>
    <row r="41" spans="1:19" ht="16.5" x14ac:dyDescent="0.3">
      <c r="E41" s="22" t="s">
        <v>366</v>
      </c>
      <c r="F41">
        <v>200</v>
      </c>
      <c r="I41" t="s">
        <v>379</v>
      </c>
      <c r="J41">
        <v>20</v>
      </c>
    </row>
    <row r="42" spans="1:19" ht="16.5" x14ac:dyDescent="0.3">
      <c r="E42" s="22" t="s">
        <v>367</v>
      </c>
      <c r="F42">
        <v>2000</v>
      </c>
      <c r="I42" t="s">
        <v>380</v>
      </c>
      <c r="J42">
        <v>20</v>
      </c>
    </row>
    <row r="43" spans="1:19" ht="16.5" x14ac:dyDescent="0.3">
      <c r="E43" s="22" t="s">
        <v>373</v>
      </c>
      <c r="F43">
        <v>500</v>
      </c>
      <c r="I43" t="s">
        <v>380</v>
      </c>
      <c r="J43">
        <v>27</v>
      </c>
    </row>
    <row r="44" spans="1:19" ht="16.5" x14ac:dyDescent="0.3">
      <c r="E44" s="22" t="s">
        <v>368</v>
      </c>
      <c r="F44">
        <v>100</v>
      </c>
      <c r="I44" t="s">
        <v>381</v>
      </c>
      <c r="J44">
        <v>67</v>
      </c>
    </row>
    <row r="45" spans="1:19" ht="16.5" x14ac:dyDescent="0.3">
      <c r="E45" s="22" t="s">
        <v>369</v>
      </c>
      <c r="F45">
        <v>67</v>
      </c>
      <c r="I45" t="s">
        <v>101</v>
      </c>
      <c r="J45">
        <v>28</v>
      </c>
    </row>
    <row r="46" spans="1:19" ht="16.5" x14ac:dyDescent="0.3">
      <c r="E46" s="22" t="s">
        <v>370</v>
      </c>
      <c r="F46">
        <v>50</v>
      </c>
      <c r="I46" t="s">
        <v>383</v>
      </c>
      <c r="J46">
        <v>31</v>
      </c>
    </row>
    <row r="47" spans="1:19" ht="16.5" x14ac:dyDescent="0.3">
      <c r="E47" s="22" t="s">
        <v>371</v>
      </c>
      <c r="F47">
        <v>70</v>
      </c>
      <c r="I47" t="s">
        <v>384</v>
      </c>
      <c r="J47">
        <v>32</v>
      </c>
    </row>
    <row r="48" spans="1:19" ht="16.5" x14ac:dyDescent="0.3">
      <c r="E48" s="22" t="s">
        <v>372</v>
      </c>
      <c r="F48">
        <v>300</v>
      </c>
      <c r="I48" t="s">
        <v>385</v>
      </c>
      <c r="J48">
        <v>46</v>
      </c>
    </row>
    <row r="49" spans="2:10" ht="16.5" x14ac:dyDescent="0.3">
      <c r="E49" s="22" t="s">
        <v>374</v>
      </c>
      <c r="F49">
        <v>100</v>
      </c>
      <c r="I49" t="s">
        <v>108</v>
      </c>
      <c r="J49">
        <v>20914</v>
      </c>
    </row>
    <row r="50" spans="2:10" x14ac:dyDescent="0.25">
      <c r="I50" t="s">
        <v>387</v>
      </c>
      <c r="J50">
        <v>357</v>
      </c>
    </row>
    <row r="51" spans="2:10" x14ac:dyDescent="0.25">
      <c r="J51">
        <v>300</v>
      </c>
    </row>
    <row r="53" spans="2:10" x14ac:dyDescent="0.25">
      <c r="F53">
        <f>SUM(F39:F49)</f>
        <v>4687</v>
      </c>
    </row>
    <row r="61" spans="2:10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F4F2-05C7-496E-95E0-029BFF75893E}">
  <dimension ref="A1:T124"/>
  <sheetViews>
    <sheetView topLeftCell="A16" workbookViewId="0">
      <selection activeCell="C33" sqref="C33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>
        <v>7100</v>
      </c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1012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 t="s">
        <v>388</v>
      </c>
      <c r="F8" s="11">
        <v>1000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52</v>
      </c>
      <c r="C9" s="11"/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389</v>
      </c>
      <c r="C10" s="11">
        <v>200</v>
      </c>
      <c r="D10" s="11"/>
      <c r="E10" s="9" t="s">
        <v>355</v>
      </c>
      <c r="F10" s="11">
        <v>30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363</v>
      </c>
      <c r="C11" s="11">
        <v>198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391</v>
      </c>
      <c r="C12" s="11">
        <v>500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392</v>
      </c>
      <c r="C13" s="11">
        <v>150</v>
      </c>
      <c r="D13" s="11"/>
      <c r="E13" s="9" t="s">
        <v>39</v>
      </c>
      <c r="F13" s="11">
        <v>12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263</v>
      </c>
      <c r="C14" s="11">
        <v>1500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203</v>
      </c>
      <c r="F15" s="11">
        <v>100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390</v>
      </c>
      <c r="F16" s="11">
        <v>100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/>
      <c r="F17" s="11"/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2548</v>
      </c>
      <c r="D21" s="11"/>
      <c r="E21" s="11"/>
      <c r="F21" s="11">
        <f>SUM(F7:F19)+150</f>
        <v>3174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5722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ABS(G4-D25)</f>
        <v>5722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>
        <f>H4-D25</f>
        <v>1378</v>
      </c>
      <c r="D33" s="11"/>
      <c r="E33" s="11"/>
      <c r="F33" s="11"/>
      <c r="G33" s="11"/>
      <c r="H33" s="11"/>
      <c r="I33" s="11"/>
      <c r="J33" s="11">
        <f>C28+L28</f>
        <v>6226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5">
      <c r="E35">
        <f>5.2+13.8+10.96+13+13+21+6.99+47+62+12+68+40</f>
        <v>312.95</v>
      </c>
    </row>
    <row r="38" spans="1:19" x14ac:dyDescent="0.25">
      <c r="I38" t="s">
        <v>376</v>
      </c>
      <c r="J38">
        <v>39</v>
      </c>
      <c r="L38" t="s">
        <v>382</v>
      </c>
      <c r="M38">
        <f>SUM(J38:J57)</f>
        <v>22002</v>
      </c>
    </row>
    <row r="39" spans="1:19" ht="16.5" x14ac:dyDescent="0.3">
      <c r="E39" s="22" t="s">
        <v>364</v>
      </c>
      <c r="F39">
        <v>500</v>
      </c>
      <c r="I39" t="s">
        <v>377</v>
      </c>
      <c r="J39">
        <v>100</v>
      </c>
    </row>
    <row r="40" spans="1:19" ht="16.5" x14ac:dyDescent="0.3">
      <c r="E40" s="22" t="s">
        <v>365</v>
      </c>
      <c r="F40">
        <v>800</v>
      </c>
      <c r="I40" t="s">
        <v>378</v>
      </c>
      <c r="J40">
        <v>21</v>
      </c>
    </row>
    <row r="41" spans="1:19" ht="16.5" x14ac:dyDescent="0.3">
      <c r="E41" s="22" t="s">
        <v>366</v>
      </c>
      <c r="F41">
        <v>200</v>
      </c>
      <c r="I41" t="s">
        <v>379</v>
      </c>
      <c r="J41">
        <v>20</v>
      </c>
    </row>
    <row r="42" spans="1:19" ht="16.5" x14ac:dyDescent="0.3">
      <c r="E42" s="22" t="s">
        <v>367</v>
      </c>
      <c r="F42">
        <v>2000</v>
      </c>
      <c r="I42" t="s">
        <v>380</v>
      </c>
      <c r="J42">
        <v>20</v>
      </c>
    </row>
    <row r="43" spans="1:19" ht="16.5" x14ac:dyDescent="0.3">
      <c r="E43" s="22" t="s">
        <v>373</v>
      </c>
      <c r="F43">
        <v>500</v>
      </c>
      <c r="I43" t="s">
        <v>380</v>
      </c>
      <c r="J43">
        <v>27</v>
      </c>
    </row>
    <row r="44" spans="1:19" ht="16.5" x14ac:dyDescent="0.3">
      <c r="E44" s="22" t="s">
        <v>368</v>
      </c>
      <c r="F44">
        <v>100</v>
      </c>
      <c r="I44" t="s">
        <v>381</v>
      </c>
      <c r="J44">
        <v>67</v>
      </c>
    </row>
    <row r="45" spans="1:19" ht="16.5" x14ac:dyDescent="0.3">
      <c r="E45" s="22" t="s">
        <v>369</v>
      </c>
      <c r="F45">
        <v>67</v>
      </c>
      <c r="I45" t="s">
        <v>101</v>
      </c>
      <c r="J45">
        <v>28</v>
      </c>
    </row>
    <row r="46" spans="1:19" ht="16.5" x14ac:dyDescent="0.3">
      <c r="E46" s="22" t="s">
        <v>370</v>
      </c>
      <c r="F46">
        <v>50</v>
      </c>
      <c r="I46" t="s">
        <v>383</v>
      </c>
      <c r="J46">
        <v>31</v>
      </c>
    </row>
    <row r="47" spans="1:19" ht="16.5" x14ac:dyDescent="0.3">
      <c r="E47" s="22" t="s">
        <v>371</v>
      </c>
      <c r="F47">
        <v>70</v>
      </c>
      <c r="I47" t="s">
        <v>384</v>
      </c>
      <c r="J47">
        <v>32</v>
      </c>
    </row>
    <row r="48" spans="1:19" ht="16.5" x14ac:dyDescent="0.3">
      <c r="E48" s="22" t="s">
        <v>372</v>
      </c>
      <c r="F48">
        <v>300</v>
      </c>
      <c r="I48" t="s">
        <v>385</v>
      </c>
      <c r="J48">
        <v>46</v>
      </c>
    </row>
    <row r="49" spans="2:10" ht="16.5" x14ac:dyDescent="0.3">
      <c r="E49" s="22" t="s">
        <v>374</v>
      </c>
      <c r="F49">
        <v>100</v>
      </c>
      <c r="I49" t="s">
        <v>108</v>
      </c>
      <c r="J49">
        <v>20914</v>
      </c>
    </row>
    <row r="50" spans="2:10" x14ac:dyDescent="0.25">
      <c r="I50" t="s">
        <v>387</v>
      </c>
      <c r="J50">
        <v>357</v>
      </c>
    </row>
    <row r="51" spans="2:10" x14ac:dyDescent="0.25">
      <c r="J51">
        <v>300</v>
      </c>
    </row>
    <row r="53" spans="2:10" x14ac:dyDescent="0.25">
      <c r="F53">
        <f>SUM(F39:F49)</f>
        <v>4687</v>
      </c>
    </row>
    <row r="61" spans="2:10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0046-6E8B-4E7A-BFB8-85F96EC96DBD}">
  <dimension ref="A1:T124"/>
  <sheetViews>
    <sheetView topLeftCell="A4" workbookViewId="0">
      <selection activeCell="C33" sqref="C33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>
        <v>6500</v>
      </c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1012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 t="s">
        <v>388</v>
      </c>
      <c r="F8" s="11">
        <v>800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52</v>
      </c>
      <c r="C9" s="11"/>
      <c r="D9" s="11"/>
      <c r="E9" s="9" t="s">
        <v>194</v>
      </c>
      <c r="F9" s="11">
        <v>300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389</v>
      </c>
      <c r="C10" s="11">
        <v>350</v>
      </c>
      <c r="D10" s="11"/>
      <c r="E10" s="9" t="s">
        <v>355</v>
      </c>
      <c r="F10" s="11">
        <v>50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363</v>
      </c>
      <c r="C11" s="11">
        <v>198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391</v>
      </c>
      <c r="C12" s="11">
        <v>1000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52</v>
      </c>
      <c r="C13" s="11">
        <f>(70*2)+100</f>
        <v>240</v>
      </c>
      <c r="D13" s="11"/>
      <c r="E13" s="9" t="s">
        <v>403</v>
      </c>
      <c r="F13" s="11">
        <f>95+52</f>
        <v>147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394</v>
      </c>
      <c r="C14" s="11">
        <v>100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 t="s">
        <v>395</v>
      </c>
      <c r="C15" s="11">
        <v>500</v>
      </c>
      <c r="D15" s="11"/>
      <c r="E15" s="9" t="s">
        <v>203</v>
      </c>
      <c r="F15" s="11">
        <v>100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390</v>
      </c>
      <c r="F16" s="11">
        <v>110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/>
      <c r="F17" s="11"/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2388</v>
      </c>
      <c r="D21" s="11"/>
      <c r="E21" s="11"/>
      <c r="F21" s="11">
        <f>SUM(F7:F19)+150</f>
        <v>3139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5527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ABS(G4-D25)</f>
        <v>5527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>
        <f>H4-D25</f>
        <v>973</v>
      </c>
      <c r="D33" s="11"/>
      <c r="E33" s="11"/>
      <c r="F33" s="11"/>
      <c r="G33" s="11"/>
      <c r="H33" s="11"/>
      <c r="I33" s="11"/>
      <c r="J33" s="11">
        <f>C28+L28</f>
        <v>6031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5">
      <c r="E35">
        <f>5.2+13.8+10.96+13+13+21+6.99+47+62+12+68+40</f>
        <v>312.95</v>
      </c>
    </row>
    <row r="38" spans="1:19" x14ac:dyDescent="0.25">
      <c r="I38" t="s">
        <v>376</v>
      </c>
      <c r="J38">
        <v>39</v>
      </c>
      <c r="L38" t="s">
        <v>382</v>
      </c>
      <c r="M38">
        <f>SUM(J38:J57)</f>
        <v>22002</v>
      </c>
    </row>
    <row r="39" spans="1:19" ht="16.5" x14ac:dyDescent="0.3">
      <c r="E39" s="22" t="s">
        <v>364</v>
      </c>
      <c r="F39">
        <v>500</v>
      </c>
      <c r="I39" t="s">
        <v>377</v>
      </c>
      <c r="J39">
        <v>100</v>
      </c>
    </row>
    <row r="40" spans="1:19" ht="16.5" x14ac:dyDescent="0.3">
      <c r="E40" s="22" t="s">
        <v>365</v>
      </c>
      <c r="F40">
        <v>800</v>
      </c>
      <c r="I40" t="s">
        <v>378</v>
      </c>
      <c r="J40">
        <v>21</v>
      </c>
    </row>
    <row r="41" spans="1:19" ht="16.5" x14ac:dyDescent="0.3">
      <c r="E41" s="22" t="s">
        <v>366</v>
      </c>
      <c r="F41">
        <v>200</v>
      </c>
      <c r="I41" t="s">
        <v>379</v>
      </c>
      <c r="J41">
        <v>20</v>
      </c>
    </row>
    <row r="42" spans="1:19" ht="16.5" x14ac:dyDescent="0.3">
      <c r="E42" s="22" t="s">
        <v>367</v>
      </c>
      <c r="F42">
        <v>2000</v>
      </c>
      <c r="I42" t="s">
        <v>380</v>
      </c>
      <c r="J42">
        <v>20</v>
      </c>
    </row>
    <row r="43" spans="1:19" ht="16.5" x14ac:dyDescent="0.3">
      <c r="E43" s="22" t="s">
        <v>373</v>
      </c>
      <c r="F43">
        <v>500</v>
      </c>
      <c r="I43" t="s">
        <v>380</v>
      </c>
      <c r="J43">
        <v>27</v>
      </c>
    </row>
    <row r="44" spans="1:19" ht="16.5" x14ac:dyDescent="0.3">
      <c r="E44" s="22" t="s">
        <v>368</v>
      </c>
      <c r="F44">
        <v>100</v>
      </c>
      <c r="I44" t="s">
        <v>381</v>
      </c>
      <c r="J44">
        <v>67</v>
      </c>
    </row>
    <row r="45" spans="1:19" ht="16.5" x14ac:dyDescent="0.3">
      <c r="E45" s="22" t="s">
        <v>369</v>
      </c>
      <c r="F45">
        <v>67</v>
      </c>
      <c r="I45" t="s">
        <v>101</v>
      </c>
      <c r="J45">
        <v>28</v>
      </c>
    </row>
    <row r="46" spans="1:19" ht="16.5" x14ac:dyDescent="0.3">
      <c r="E46" s="22" t="s">
        <v>370</v>
      </c>
      <c r="F46">
        <v>50</v>
      </c>
      <c r="I46" t="s">
        <v>383</v>
      </c>
      <c r="J46">
        <v>31</v>
      </c>
    </row>
    <row r="47" spans="1:19" ht="16.5" x14ac:dyDescent="0.3">
      <c r="E47" s="22" t="s">
        <v>371</v>
      </c>
      <c r="F47">
        <v>70</v>
      </c>
      <c r="I47" t="s">
        <v>384</v>
      </c>
      <c r="J47">
        <v>32</v>
      </c>
    </row>
    <row r="48" spans="1:19" ht="16.5" x14ac:dyDescent="0.3">
      <c r="E48" s="22" t="s">
        <v>372</v>
      </c>
      <c r="F48">
        <v>300</v>
      </c>
      <c r="I48" t="s">
        <v>385</v>
      </c>
      <c r="J48">
        <v>46</v>
      </c>
    </row>
    <row r="49" spans="2:10" ht="16.5" x14ac:dyDescent="0.3">
      <c r="E49" s="22" t="s">
        <v>374</v>
      </c>
      <c r="F49">
        <v>100</v>
      </c>
      <c r="I49" t="s">
        <v>108</v>
      </c>
      <c r="J49">
        <v>20914</v>
      </c>
    </row>
    <row r="50" spans="2:10" x14ac:dyDescent="0.25">
      <c r="I50" t="s">
        <v>387</v>
      </c>
      <c r="J50">
        <v>357</v>
      </c>
    </row>
    <row r="51" spans="2:10" x14ac:dyDescent="0.25">
      <c r="J51">
        <v>300</v>
      </c>
    </row>
    <row r="53" spans="2:10" x14ac:dyDescent="0.25">
      <c r="F53">
        <f>SUM(F39:F49)</f>
        <v>4687</v>
      </c>
    </row>
    <row r="61" spans="2:10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C8C7-3406-4E54-ADE1-2B167EC852B1}">
  <dimension ref="A1:T124"/>
  <sheetViews>
    <sheetView topLeftCell="A7" workbookViewId="0">
      <selection activeCell="E23" sqref="E23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>
        <v>10100</v>
      </c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1012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 t="s">
        <v>388</v>
      </c>
      <c r="F8" s="11">
        <v>1000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52</v>
      </c>
      <c r="C9" s="11">
        <f>200+(70*2)</f>
        <v>340</v>
      </c>
      <c r="D9" s="11"/>
      <c r="E9" s="9" t="s">
        <v>403</v>
      </c>
      <c r="F9" s="11">
        <v>96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389</v>
      </c>
      <c r="C10" s="11">
        <f>150+175</f>
        <v>325</v>
      </c>
      <c r="D10" s="11"/>
      <c r="E10" s="9" t="s">
        <v>355</v>
      </c>
      <c r="F10" s="11">
        <v>50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363</v>
      </c>
      <c r="C11" s="11">
        <v>198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391</v>
      </c>
      <c r="C12" s="11">
        <v>1000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308</v>
      </c>
      <c r="C13" s="11">
        <v>500</v>
      </c>
      <c r="D13" s="11"/>
      <c r="E13" s="9" t="s">
        <v>403</v>
      </c>
      <c r="F13" s="11">
        <v>52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308</v>
      </c>
      <c r="C14" s="11">
        <v>500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/>
      <c r="C15" s="11"/>
      <c r="D15" s="11"/>
      <c r="E15" s="9" t="s">
        <v>203</v>
      </c>
      <c r="F15" s="11">
        <v>100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/>
      <c r="C16" s="11"/>
      <c r="D16" s="11"/>
      <c r="E16" s="9" t="s">
        <v>390</v>
      </c>
      <c r="F16" s="11">
        <v>110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/>
      <c r="C17" s="11"/>
      <c r="D17" s="11"/>
      <c r="E17" s="9"/>
      <c r="F17" s="11"/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11"/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4" t="s">
        <v>6</v>
      </c>
      <c r="C21" s="11">
        <f>SUM(C7:C18)</f>
        <v>2863</v>
      </c>
      <c r="D21" s="11"/>
      <c r="E21" s="11"/>
      <c r="F21" s="11">
        <f>SUM(F7:F19)+150</f>
        <v>3040</v>
      </c>
      <c r="G21" s="11"/>
      <c r="H21" s="11"/>
      <c r="I21" s="11">
        <f>SUM(I7:I18)</f>
        <v>0</v>
      </c>
      <c r="J21" s="12"/>
      <c r="K21" s="11"/>
      <c r="L21" s="11"/>
      <c r="M21" s="11"/>
      <c r="N21" s="11">
        <f>SUM(N7:N18)</f>
        <v>976</v>
      </c>
      <c r="O21" s="11"/>
      <c r="P21" s="11"/>
      <c r="Q21" s="11">
        <f>SUM(Q7:Q17)</f>
        <v>0</v>
      </c>
      <c r="R21" s="11"/>
      <c r="S21" s="12"/>
    </row>
    <row r="22" spans="1:19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4" t="s">
        <v>15</v>
      </c>
      <c r="D25" s="11">
        <f>C21+F21+I21</f>
        <v>5903</v>
      </c>
      <c r="E25" s="11"/>
      <c r="F25" s="11"/>
      <c r="G25" s="11"/>
      <c r="H25" s="11"/>
      <c r="I25" s="11"/>
      <c r="J25" s="12"/>
      <c r="K25" s="14" t="s">
        <v>6</v>
      </c>
      <c r="L25" s="11"/>
      <c r="M25" s="11"/>
      <c r="N25" s="11"/>
      <c r="O25" s="11"/>
      <c r="P25" s="11">
        <f>N21+Q21</f>
        <v>976</v>
      </c>
      <c r="Q25" s="11"/>
      <c r="R25" s="11"/>
      <c r="S25" s="12"/>
    </row>
    <row r="26" spans="1:19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4" t="s">
        <v>227</v>
      </c>
      <c r="C28" s="11">
        <f>ABS(G4-D25)</f>
        <v>5903</v>
      </c>
      <c r="D28" s="11"/>
      <c r="E28" s="11"/>
      <c r="F28" s="11"/>
      <c r="G28" s="11"/>
      <c r="H28" s="11"/>
      <c r="I28" s="11"/>
      <c r="J28" s="12"/>
      <c r="K28" s="14" t="s">
        <v>99</v>
      </c>
      <c r="L28" s="11">
        <f>O4-P25</f>
        <v>504</v>
      </c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2"/>
    </row>
    <row r="30" spans="1:19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9"/>
      <c r="B33" s="14" t="s">
        <v>113</v>
      </c>
      <c r="C33" s="11">
        <f>H4-D25</f>
        <v>4197</v>
      </c>
      <c r="D33" s="11"/>
      <c r="E33" s="11"/>
      <c r="F33" s="11"/>
      <c r="G33" s="11"/>
      <c r="H33" s="11"/>
      <c r="I33" s="11"/>
      <c r="J33" s="11">
        <f>C28+L28</f>
        <v>6407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5">
      <c r="E35">
        <f>5.2+13.8+10.96+13+13+21+6.99+47+62+12+68+40</f>
        <v>312.95</v>
      </c>
    </row>
    <row r="38" spans="1:19" x14ac:dyDescent="0.25">
      <c r="I38" t="s">
        <v>376</v>
      </c>
      <c r="J38">
        <v>39</v>
      </c>
      <c r="L38" t="s">
        <v>382</v>
      </c>
      <c r="M38">
        <f>SUM(J38:J57)</f>
        <v>22002</v>
      </c>
    </row>
    <row r="39" spans="1:19" ht="16.5" x14ac:dyDescent="0.3">
      <c r="E39" s="22" t="s">
        <v>364</v>
      </c>
      <c r="F39">
        <v>500</v>
      </c>
      <c r="I39" t="s">
        <v>377</v>
      </c>
      <c r="J39">
        <v>100</v>
      </c>
    </row>
    <row r="40" spans="1:19" ht="16.5" x14ac:dyDescent="0.3">
      <c r="E40" s="22" t="s">
        <v>365</v>
      </c>
      <c r="F40">
        <v>800</v>
      </c>
      <c r="I40" t="s">
        <v>378</v>
      </c>
      <c r="J40">
        <v>21</v>
      </c>
    </row>
    <row r="41" spans="1:19" ht="16.5" x14ac:dyDescent="0.3">
      <c r="E41" s="22" t="s">
        <v>366</v>
      </c>
      <c r="F41">
        <v>200</v>
      </c>
      <c r="I41" t="s">
        <v>379</v>
      </c>
      <c r="J41">
        <v>20</v>
      </c>
    </row>
    <row r="42" spans="1:19" ht="16.5" x14ac:dyDescent="0.3">
      <c r="E42" s="22" t="s">
        <v>367</v>
      </c>
      <c r="F42">
        <v>2000</v>
      </c>
      <c r="I42" t="s">
        <v>380</v>
      </c>
      <c r="J42">
        <v>20</v>
      </c>
    </row>
    <row r="43" spans="1:19" ht="16.5" x14ac:dyDescent="0.3">
      <c r="E43" s="22" t="s">
        <v>373</v>
      </c>
      <c r="F43">
        <v>500</v>
      </c>
      <c r="I43" t="s">
        <v>380</v>
      </c>
      <c r="J43">
        <v>27</v>
      </c>
    </row>
    <row r="44" spans="1:19" ht="16.5" x14ac:dyDescent="0.3">
      <c r="E44" s="22" t="s">
        <v>368</v>
      </c>
      <c r="F44">
        <v>100</v>
      </c>
      <c r="I44" t="s">
        <v>381</v>
      </c>
      <c r="J44">
        <v>67</v>
      </c>
    </row>
    <row r="45" spans="1:19" ht="16.5" x14ac:dyDescent="0.3">
      <c r="E45" s="22" t="s">
        <v>369</v>
      </c>
      <c r="F45">
        <v>67</v>
      </c>
      <c r="I45" t="s">
        <v>101</v>
      </c>
      <c r="J45">
        <v>28</v>
      </c>
    </row>
    <row r="46" spans="1:19" ht="16.5" x14ac:dyDescent="0.3">
      <c r="E46" s="22" t="s">
        <v>370</v>
      </c>
      <c r="F46">
        <v>50</v>
      </c>
      <c r="I46" t="s">
        <v>383</v>
      </c>
      <c r="J46">
        <v>31</v>
      </c>
    </row>
    <row r="47" spans="1:19" ht="16.5" x14ac:dyDescent="0.3">
      <c r="E47" s="22" t="s">
        <v>371</v>
      </c>
      <c r="F47">
        <v>70</v>
      </c>
      <c r="I47" t="s">
        <v>384</v>
      </c>
      <c r="J47">
        <v>32</v>
      </c>
    </row>
    <row r="48" spans="1:19" ht="16.5" x14ac:dyDescent="0.3">
      <c r="E48" s="22" t="s">
        <v>372</v>
      </c>
      <c r="F48">
        <v>300</v>
      </c>
      <c r="I48" t="s">
        <v>385</v>
      </c>
      <c r="J48">
        <v>46</v>
      </c>
    </row>
    <row r="49" spans="2:10" ht="16.5" x14ac:dyDescent="0.3">
      <c r="E49" s="22" t="s">
        <v>374</v>
      </c>
      <c r="F49">
        <v>100</v>
      </c>
      <c r="I49" t="s">
        <v>108</v>
      </c>
      <c r="J49">
        <v>20914</v>
      </c>
    </row>
    <row r="50" spans="2:10" x14ac:dyDescent="0.25">
      <c r="I50" t="s">
        <v>387</v>
      </c>
      <c r="J50">
        <v>357</v>
      </c>
    </row>
    <row r="51" spans="2:10" x14ac:dyDescent="0.25">
      <c r="J51">
        <v>300</v>
      </c>
    </row>
    <row r="53" spans="2:10" x14ac:dyDescent="0.25">
      <c r="F53">
        <f>SUM(F39:F49)</f>
        <v>4687</v>
      </c>
    </row>
    <row r="61" spans="2:10" x14ac:dyDescent="0.25">
      <c r="B61" s="14" t="s">
        <v>3</v>
      </c>
      <c r="C61" s="11">
        <v>1900</v>
      </c>
    </row>
    <row r="97" spans="2:16" x14ac:dyDescent="0.25">
      <c r="B97">
        <v>3000</v>
      </c>
    </row>
    <row r="98" spans="2:16" x14ac:dyDescent="0.25">
      <c r="B98">
        <v>2500</v>
      </c>
      <c r="J98">
        <v>3000</v>
      </c>
    </row>
    <row r="99" spans="2:16" x14ac:dyDescent="0.25">
      <c r="B99">
        <v>2500</v>
      </c>
      <c r="J99">
        <v>600</v>
      </c>
    </row>
    <row r="100" spans="2:16" x14ac:dyDescent="0.25">
      <c r="B100">
        <v>800</v>
      </c>
    </row>
    <row r="101" spans="2:16" x14ac:dyDescent="0.25">
      <c r="B101">
        <v>700</v>
      </c>
    </row>
    <row r="105" spans="2:16" x14ac:dyDescent="0.25">
      <c r="B105">
        <f>SUM(B97:B101)</f>
        <v>9500</v>
      </c>
      <c r="D105">
        <f>B105-7000</f>
        <v>2500</v>
      </c>
    </row>
    <row r="106" spans="2:16" x14ac:dyDescent="0.25">
      <c r="P106">
        <v>126</v>
      </c>
    </row>
    <row r="107" spans="2:16" x14ac:dyDescent="0.25">
      <c r="P107" s="11">
        <v>12</v>
      </c>
    </row>
    <row r="108" spans="2:16" x14ac:dyDescent="0.25">
      <c r="P108" s="11">
        <v>10</v>
      </c>
    </row>
    <row r="109" spans="2:16" x14ac:dyDescent="0.25">
      <c r="P109" s="11">
        <v>20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3.99</v>
      </c>
    </row>
    <row r="113" spans="5:16" x14ac:dyDescent="0.25">
      <c r="P113" s="11">
        <v>100</v>
      </c>
    </row>
    <row r="114" spans="5:16" x14ac:dyDescent="0.25">
      <c r="E114">
        <v>1400</v>
      </c>
      <c r="P114" s="11">
        <v>75</v>
      </c>
    </row>
    <row r="115" spans="5:16" x14ac:dyDescent="0.25">
      <c r="E115">
        <v>1300</v>
      </c>
      <c r="P115" s="11">
        <v>60</v>
      </c>
    </row>
    <row r="116" spans="5:16" x14ac:dyDescent="0.25">
      <c r="E116">
        <v>950</v>
      </c>
      <c r="P116" s="11"/>
    </row>
    <row r="117" spans="5:16" x14ac:dyDescent="0.25">
      <c r="P117" s="11">
        <v>70</v>
      </c>
    </row>
    <row r="120" spans="5:16" x14ac:dyDescent="0.25">
      <c r="E120">
        <f>SUM(E114:E118)</f>
        <v>3650</v>
      </c>
    </row>
    <row r="124" spans="5:16" x14ac:dyDescent="0.25">
      <c r="P124">
        <f>SUM(P104:P121)</f>
        <v>516.99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483-B416-4405-B16E-41B90F2A2DFA}">
  <dimension ref="A1:T125"/>
  <sheetViews>
    <sheetView workbookViewId="0">
      <selection activeCell="E19" sqref="E19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>
        <v>10100</v>
      </c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1012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 t="s">
        <v>388</v>
      </c>
      <c r="F8" s="11">
        <v>1000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52</v>
      </c>
      <c r="C9" s="11">
        <v>400</v>
      </c>
      <c r="D9" s="11"/>
      <c r="E9" s="9" t="s">
        <v>403</v>
      </c>
      <c r="F9" s="11">
        <v>96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389</v>
      </c>
      <c r="C10" s="11">
        <v>0</v>
      </c>
      <c r="D10" s="11"/>
      <c r="E10" s="9" t="s">
        <v>355</v>
      </c>
      <c r="F10" s="11">
        <v>50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363</v>
      </c>
      <c r="C11" s="11">
        <v>198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391</v>
      </c>
      <c r="C12" s="11">
        <v>1500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424</v>
      </c>
      <c r="C13" s="11">
        <v>250</v>
      </c>
      <c r="D13" s="11"/>
      <c r="E13" s="9" t="s">
        <v>403</v>
      </c>
      <c r="F13" s="11">
        <v>52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425</v>
      </c>
      <c r="C14" s="11">
        <v>200</v>
      </c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 t="s">
        <v>426</v>
      </c>
      <c r="C15" s="11">
        <f>317+35</f>
        <v>352</v>
      </c>
      <c r="D15" s="11"/>
      <c r="E15" s="9" t="s">
        <v>203</v>
      </c>
      <c r="F15" s="11">
        <v>100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 t="s">
        <v>428</v>
      </c>
      <c r="C16" s="11">
        <v>248</v>
      </c>
      <c r="D16" s="11"/>
      <c r="E16" s="9" t="s">
        <v>390</v>
      </c>
      <c r="F16" s="11">
        <v>131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 t="s">
        <v>430</v>
      </c>
      <c r="C17" s="11">
        <v>104</v>
      </c>
      <c r="D17" s="11"/>
      <c r="E17" s="9"/>
      <c r="F17" s="11"/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9" t="s">
        <v>429</v>
      </c>
      <c r="C18" s="11">
        <v>89</v>
      </c>
      <c r="D18" s="11"/>
      <c r="E18" s="9"/>
      <c r="F18" s="11"/>
      <c r="G18" s="11"/>
      <c r="H18" s="11"/>
      <c r="I18" s="11"/>
      <c r="J18" s="12"/>
      <c r="K18" s="11"/>
      <c r="L18" s="11"/>
      <c r="M18" s="9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9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1"/>
      <c r="C21" s="11"/>
      <c r="D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2"/>
    </row>
    <row r="22" spans="1:19" x14ac:dyDescent="0.25">
      <c r="A22" s="10"/>
      <c r="B22" s="14" t="s">
        <v>6</v>
      </c>
      <c r="C22" s="11">
        <f>SUM(C7:C19)</f>
        <v>3341</v>
      </c>
      <c r="D22" s="11"/>
      <c r="E22" s="11"/>
      <c r="F22" s="11">
        <f>SUM(F7:F20)+150</f>
        <v>3061</v>
      </c>
      <c r="G22" s="11"/>
      <c r="H22" s="11"/>
      <c r="I22" s="11">
        <f>SUM(I7:I19)</f>
        <v>0</v>
      </c>
      <c r="J22" s="12"/>
      <c r="K22" s="11"/>
      <c r="L22" s="11"/>
      <c r="M22" s="11"/>
      <c r="N22" s="11">
        <f>SUM(N7:N19)</f>
        <v>976</v>
      </c>
      <c r="O22" s="11"/>
      <c r="P22" s="11"/>
      <c r="Q22" s="11">
        <f>SUM(Q7:Q18)</f>
        <v>0</v>
      </c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4" t="s">
        <v>15</v>
      </c>
      <c r="D26" s="11">
        <f>C22+F22+I22</f>
        <v>6402</v>
      </c>
      <c r="E26" s="11"/>
      <c r="F26" s="11"/>
      <c r="G26" s="11"/>
      <c r="H26" s="11"/>
      <c r="I26" s="11"/>
      <c r="J26" s="12"/>
      <c r="K26" s="14" t="s">
        <v>6</v>
      </c>
      <c r="L26" s="11"/>
      <c r="M26" s="11"/>
      <c r="N26" s="11"/>
      <c r="O26" s="11"/>
      <c r="P26" s="11">
        <f>N22+Q22</f>
        <v>976</v>
      </c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4" t="s">
        <v>227</v>
      </c>
      <c r="C29" s="11">
        <f>ABS(G4-D26)</f>
        <v>6402</v>
      </c>
      <c r="D29" s="11"/>
      <c r="E29" s="11"/>
      <c r="F29" s="11"/>
      <c r="G29" s="11"/>
      <c r="H29" s="11"/>
      <c r="I29" s="11"/>
      <c r="J29" s="12"/>
      <c r="K29" s="14" t="s">
        <v>99</v>
      </c>
      <c r="L29" s="11">
        <f>O4-P26</f>
        <v>504</v>
      </c>
      <c r="M29" s="11"/>
      <c r="N29" s="11"/>
      <c r="O29" s="11"/>
      <c r="P29" s="11"/>
      <c r="Q29" s="11"/>
      <c r="R29" s="11"/>
      <c r="S29" s="12"/>
    </row>
    <row r="30" spans="1:19" x14ac:dyDescent="0.25">
      <c r="A30" s="10"/>
      <c r="B30" s="11"/>
      <c r="C30" s="11"/>
      <c r="D30" s="11"/>
      <c r="E30" s="11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B34" s="14" t="s">
        <v>113</v>
      </c>
      <c r="C34" s="11">
        <f>H4-D26</f>
        <v>3698</v>
      </c>
      <c r="D34" s="11"/>
      <c r="E34" s="11"/>
      <c r="F34" s="11"/>
      <c r="G34" s="11"/>
      <c r="H34" s="11"/>
      <c r="I34" s="11"/>
      <c r="J34" s="11">
        <f>C29+L29</f>
        <v>6906</v>
      </c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5">
      <c r="A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25">
      <c r="E36">
        <f>5.2+13.8+10.96+13+13+21+6.99+47+62+12+68+40</f>
        <v>312.95</v>
      </c>
    </row>
    <row r="39" spans="1:19" x14ac:dyDescent="0.25">
      <c r="I39" t="s">
        <v>376</v>
      </c>
      <c r="J39">
        <v>39</v>
      </c>
      <c r="L39" t="s">
        <v>382</v>
      </c>
      <c r="M39">
        <f>SUM(J39:J58)</f>
        <v>22002</v>
      </c>
    </row>
    <row r="40" spans="1:19" ht="16.5" x14ac:dyDescent="0.3">
      <c r="E40" s="22" t="s">
        <v>364</v>
      </c>
      <c r="F40">
        <v>500</v>
      </c>
      <c r="I40" t="s">
        <v>377</v>
      </c>
      <c r="J40">
        <v>100</v>
      </c>
    </row>
    <row r="41" spans="1:19" ht="16.5" x14ac:dyDescent="0.3">
      <c r="E41" s="22" t="s">
        <v>365</v>
      </c>
      <c r="F41">
        <v>800</v>
      </c>
      <c r="I41" t="s">
        <v>378</v>
      </c>
      <c r="J41">
        <v>21</v>
      </c>
    </row>
    <row r="42" spans="1:19" ht="16.5" x14ac:dyDescent="0.3">
      <c r="E42" s="22" t="s">
        <v>366</v>
      </c>
      <c r="F42">
        <v>200</v>
      </c>
      <c r="I42" t="s">
        <v>379</v>
      </c>
      <c r="J42">
        <v>20</v>
      </c>
    </row>
    <row r="43" spans="1:19" ht="16.5" x14ac:dyDescent="0.3">
      <c r="E43" s="22" t="s">
        <v>367</v>
      </c>
      <c r="F43">
        <v>2000</v>
      </c>
      <c r="I43" t="s">
        <v>380</v>
      </c>
      <c r="J43">
        <v>20</v>
      </c>
    </row>
    <row r="44" spans="1:19" ht="16.5" x14ac:dyDescent="0.3">
      <c r="E44" s="22" t="s">
        <v>373</v>
      </c>
      <c r="F44">
        <v>500</v>
      </c>
      <c r="I44" t="s">
        <v>380</v>
      </c>
      <c r="J44">
        <v>27</v>
      </c>
    </row>
    <row r="45" spans="1:19" ht="16.5" x14ac:dyDescent="0.3">
      <c r="E45" s="22" t="s">
        <v>368</v>
      </c>
      <c r="F45">
        <v>100</v>
      </c>
      <c r="I45" t="s">
        <v>381</v>
      </c>
      <c r="J45">
        <v>67</v>
      </c>
    </row>
    <row r="46" spans="1:19" ht="16.5" x14ac:dyDescent="0.3">
      <c r="E46" s="22" t="s">
        <v>369</v>
      </c>
      <c r="F46">
        <v>67</v>
      </c>
      <c r="I46" t="s">
        <v>101</v>
      </c>
      <c r="J46">
        <v>28</v>
      </c>
    </row>
    <row r="47" spans="1:19" ht="16.5" x14ac:dyDescent="0.3">
      <c r="E47" s="22" t="s">
        <v>370</v>
      </c>
      <c r="F47">
        <v>50</v>
      </c>
      <c r="I47" t="s">
        <v>383</v>
      </c>
      <c r="J47">
        <v>31</v>
      </c>
    </row>
    <row r="48" spans="1:19" ht="16.5" x14ac:dyDescent="0.3">
      <c r="E48" s="22" t="s">
        <v>371</v>
      </c>
      <c r="F48">
        <v>70</v>
      </c>
      <c r="I48" t="s">
        <v>384</v>
      </c>
      <c r="J48">
        <v>32</v>
      </c>
    </row>
    <row r="49" spans="2:10" ht="16.5" x14ac:dyDescent="0.3">
      <c r="E49" s="22" t="s">
        <v>372</v>
      </c>
      <c r="F49">
        <v>300</v>
      </c>
      <c r="I49" t="s">
        <v>385</v>
      </c>
      <c r="J49">
        <v>46</v>
      </c>
    </row>
    <row r="50" spans="2:10" ht="16.5" x14ac:dyDescent="0.3">
      <c r="E50" s="22" t="s">
        <v>374</v>
      </c>
      <c r="F50">
        <v>100</v>
      </c>
      <c r="I50" t="s">
        <v>108</v>
      </c>
      <c r="J50">
        <v>20914</v>
      </c>
    </row>
    <row r="51" spans="2:10" x14ac:dyDescent="0.25">
      <c r="I51" t="s">
        <v>387</v>
      </c>
      <c r="J51">
        <v>357</v>
      </c>
    </row>
    <row r="52" spans="2:10" x14ac:dyDescent="0.25">
      <c r="J52">
        <v>300</v>
      </c>
    </row>
    <row r="54" spans="2:10" x14ac:dyDescent="0.25">
      <c r="F54">
        <f>SUM(F40:F50)</f>
        <v>4687</v>
      </c>
    </row>
    <row r="62" spans="2:10" x14ac:dyDescent="0.25">
      <c r="B62" s="14" t="s">
        <v>3</v>
      </c>
      <c r="C62" s="11">
        <v>1900</v>
      </c>
    </row>
    <row r="98" spans="2:16" x14ac:dyDescent="0.25">
      <c r="B98">
        <v>3000</v>
      </c>
    </row>
    <row r="99" spans="2:16" x14ac:dyDescent="0.25">
      <c r="B99">
        <v>2500</v>
      </c>
      <c r="J99">
        <v>3000</v>
      </c>
    </row>
    <row r="100" spans="2:16" x14ac:dyDescent="0.25">
      <c r="B100">
        <v>2500</v>
      </c>
      <c r="J100">
        <v>600</v>
      </c>
    </row>
    <row r="101" spans="2:16" x14ac:dyDescent="0.25">
      <c r="B101">
        <v>800</v>
      </c>
    </row>
    <row r="102" spans="2:16" x14ac:dyDescent="0.25">
      <c r="B102">
        <v>700</v>
      </c>
    </row>
    <row r="106" spans="2:16" x14ac:dyDescent="0.25">
      <c r="B106">
        <f>SUM(B98:B102)</f>
        <v>9500</v>
      </c>
      <c r="D106">
        <f>B106-7000</f>
        <v>2500</v>
      </c>
    </row>
    <row r="107" spans="2:16" x14ac:dyDescent="0.25">
      <c r="P107">
        <v>126</v>
      </c>
    </row>
    <row r="108" spans="2:16" x14ac:dyDescent="0.25">
      <c r="P108" s="11">
        <v>12</v>
      </c>
    </row>
    <row r="109" spans="2:16" x14ac:dyDescent="0.25">
      <c r="P109" s="11">
        <v>10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20</v>
      </c>
    </row>
    <row r="113" spans="5:16" x14ac:dyDescent="0.25">
      <c r="P113" s="11">
        <v>3.99</v>
      </c>
    </row>
    <row r="114" spans="5:16" x14ac:dyDescent="0.25">
      <c r="P114" s="11">
        <v>100</v>
      </c>
    </row>
    <row r="115" spans="5:16" x14ac:dyDescent="0.25">
      <c r="E115">
        <v>1400</v>
      </c>
      <c r="P115" s="11">
        <v>75</v>
      </c>
    </row>
    <row r="116" spans="5:16" x14ac:dyDescent="0.25">
      <c r="E116">
        <v>1300</v>
      </c>
      <c r="P116" s="11">
        <v>60</v>
      </c>
    </row>
    <row r="117" spans="5:16" x14ac:dyDescent="0.25">
      <c r="E117">
        <v>950</v>
      </c>
      <c r="P117" s="11"/>
    </row>
    <row r="118" spans="5:16" x14ac:dyDescent="0.25">
      <c r="P118" s="11">
        <v>70</v>
      </c>
    </row>
    <row r="121" spans="5:16" x14ac:dyDescent="0.25">
      <c r="E121">
        <f>SUM(E115:E119)</f>
        <v>3650</v>
      </c>
    </row>
    <row r="125" spans="5:16" x14ac:dyDescent="0.25">
      <c r="P125">
        <f>SUM(P105:P122)</f>
        <v>516.99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18BA-A9DA-4209-85B1-21AB2F24CB40}">
  <dimension ref="A1:T125"/>
  <sheetViews>
    <sheetView tabSelected="1" workbookViewId="0">
      <selection activeCell="H4" sqref="H4"/>
    </sheetView>
  </sheetViews>
  <sheetFormatPr baseColWidth="10" defaultRowHeight="15.75" x14ac:dyDescent="0.25"/>
  <cols>
    <col min="2" max="2" width="11.625" bestFit="1" customWidth="1"/>
    <col min="5" max="5" width="20.125" customWidth="1"/>
    <col min="9" max="9" width="19.625" customWidth="1"/>
    <col min="11" max="11" width="8.125" customWidth="1"/>
    <col min="13" max="13" width="18.125" customWidth="1"/>
    <col min="18" max="18" width="3.625" customWidth="1"/>
  </cols>
  <sheetData>
    <row r="1" spans="1:2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x14ac:dyDescent="0.25">
      <c r="A3" s="10"/>
      <c r="B3" s="9"/>
      <c r="C3" s="11"/>
      <c r="D3" s="11"/>
      <c r="E3" s="11"/>
      <c r="F3" s="11"/>
      <c r="G3" s="11"/>
      <c r="H3" s="11" t="s">
        <v>210</v>
      </c>
      <c r="I3" s="11" t="s">
        <v>211</v>
      </c>
      <c r="J3" s="12"/>
      <c r="K3" s="11"/>
      <c r="L3" s="11"/>
      <c r="M3" s="11"/>
      <c r="N3" s="11"/>
      <c r="O3" s="11"/>
      <c r="P3" s="11"/>
      <c r="Q3" s="11"/>
      <c r="R3" s="11"/>
      <c r="S3" s="12"/>
    </row>
    <row r="4" spans="1:20" x14ac:dyDescent="0.25">
      <c r="A4" s="10"/>
      <c r="B4" s="9"/>
      <c r="C4" s="11"/>
      <c r="D4" s="11"/>
      <c r="E4" s="13" t="s">
        <v>78</v>
      </c>
      <c r="F4" s="14" t="s">
        <v>7</v>
      </c>
      <c r="G4" s="11"/>
      <c r="H4" s="11">
        <f>2200+3000+1000</f>
        <v>6200</v>
      </c>
      <c r="I4" s="11"/>
      <c r="J4" s="12"/>
      <c r="K4" s="11"/>
      <c r="L4" s="11"/>
      <c r="M4" s="13" t="s">
        <v>80</v>
      </c>
      <c r="N4" s="14" t="s">
        <v>7</v>
      </c>
      <c r="O4" s="11">
        <v>1480</v>
      </c>
      <c r="P4" s="11"/>
      <c r="Q4" s="11"/>
      <c r="R4" s="11"/>
      <c r="S4" s="12"/>
    </row>
    <row r="5" spans="1:20" x14ac:dyDescent="0.25">
      <c r="A5" s="10"/>
      <c r="B5" s="9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  <c r="S5" s="12"/>
    </row>
    <row r="6" spans="1:20" x14ac:dyDescent="0.25">
      <c r="A6" s="10"/>
      <c r="B6" s="9"/>
      <c r="C6" s="14" t="s">
        <v>75</v>
      </c>
      <c r="D6" s="15"/>
      <c r="E6" s="14" t="s">
        <v>76</v>
      </c>
      <c r="F6" s="15"/>
      <c r="G6" s="14"/>
      <c r="H6" s="14" t="s">
        <v>77</v>
      </c>
      <c r="I6" s="14"/>
      <c r="J6" s="12"/>
      <c r="K6" s="14" t="s">
        <v>75</v>
      </c>
      <c r="L6" s="15"/>
      <c r="M6" s="14" t="s">
        <v>76</v>
      </c>
      <c r="N6" s="15"/>
      <c r="O6" s="14"/>
      <c r="P6" s="14" t="s">
        <v>77</v>
      </c>
      <c r="Q6" s="14"/>
      <c r="R6" s="11"/>
      <c r="S6" s="12"/>
    </row>
    <row r="7" spans="1:20" x14ac:dyDescent="0.25">
      <c r="A7" s="10"/>
      <c r="B7" s="9" t="s">
        <v>193</v>
      </c>
      <c r="C7" s="11"/>
      <c r="D7" s="11"/>
      <c r="E7" s="9" t="s">
        <v>0</v>
      </c>
      <c r="F7" s="11">
        <v>1012</v>
      </c>
      <c r="G7" s="11"/>
      <c r="H7" s="9"/>
      <c r="I7" s="11"/>
      <c r="J7" s="12"/>
      <c r="K7" s="11"/>
      <c r="L7" s="11"/>
      <c r="M7" s="9" t="s">
        <v>119</v>
      </c>
      <c r="N7" s="11">
        <v>150</v>
      </c>
      <c r="O7" s="11"/>
      <c r="P7" s="9"/>
      <c r="Q7" s="11"/>
      <c r="R7" s="11"/>
      <c r="S7" s="12"/>
    </row>
    <row r="8" spans="1:20" x14ac:dyDescent="0.25">
      <c r="A8" s="10"/>
      <c r="B8" s="9"/>
      <c r="C8" s="11" t="s">
        <v>216</v>
      </c>
      <c r="D8" s="11"/>
      <c r="E8" s="9" t="s">
        <v>388</v>
      </c>
      <c r="F8" s="11">
        <v>1000</v>
      </c>
      <c r="G8" s="11"/>
      <c r="H8" s="9"/>
      <c r="I8" s="11"/>
      <c r="J8" s="12"/>
      <c r="K8" s="11"/>
      <c r="L8" s="11"/>
      <c r="M8" s="9" t="s">
        <v>196</v>
      </c>
      <c r="N8" s="11">
        <v>200</v>
      </c>
      <c r="O8" s="11"/>
      <c r="P8" s="9"/>
      <c r="Q8" s="11"/>
      <c r="R8" s="11"/>
      <c r="S8" s="12"/>
      <c r="T8">
        <v>50</v>
      </c>
    </row>
    <row r="9" spans="1:20" x14ac:dyDescent="0.25">
      <c r="A9" s="10"/>
      <c r="B9" s="9" t="s">
        <v>52</v>
      </c>
      <c r="C9" s="11">
        <v>400</v>
      </c>
      <c r="D9" s="11"/>
      <c r="E9" s="9" t="s">
        <v>403</v>
      </c>
      <c r="F9" s="11">
        <v>96</v>
      </c>
      <c r="G9" s="11"/>
      <c r="H9" s="9"/>
      <c r="I9" s="11"/>
      <c r="J9" s="12"/>
      <c r="K9" s="11"/>
      <c r="L9" s="11"/>
      <c r="M9" s="9" t="s">
        <v>197</v>
      </c>
      <c r="N9" s="11">
        <v>200</v>
      </c>
      <c r="O9" s="11"/>
      <c r="P9" s="9"/>
      <c r="Q9" s="11"/>
      <c r="R9" s="11"/>
      <c r="S9" s="12"/>
      <c r="T9">
        <v>200</v>
      </c>
    </row>
    <row r="10" spans="1:20" x14ac:dyDescent="0.25">
      <c r="A10" s="10"/>
      <c r="B10" s="9" t="s">
        <v>389</v>
      </c>
      <c r="C10" s="11">
        <v>0</v>
      </c>
      <c r="D10" s="11"/>
      <c r="E10" s="9" t="s">
        <v>355</v>
      </c>
      <c r="F10" s="11">
        <v>50</v>
      </c>
      <c r="G10" s="11"/>
      <c r="H10" s="9"/>
      <c r="I10" s="11"/>
      <c r="J10" s="12"/>
      <c r="K10" s="11"/>
      <c r="L10" s="11"/>
      <c r="M10" s="9" t="s">
        <v>198</v>
      </c>
      <c r="N10" s="11">
        <v>300</v>
      </c>
      <c r="O10" s="11"/>
      <c r="P10" s="9"/>
      <c r="Q10" s="11"/>
      <c r="R10" s="11"/>
      <c r="S10" s="12"/>
      <c r="T10">
        <v>150</v>
      </c>
    </row>
    <row r="11" spans="1:20" x14ac:dyDescent="0.25">
      <c r="A11" s="10"/>
      <c r="B11" s="9" t="s">
        <v>363</v>
      </c>
      <c r="C11" s="11">
        <v>39</v>
      </c>
      <c r="D11" s="11"/>
      <c r="E11" s="9" t="s">
        <v>2</v>
      </c>
      <c r="F11" s="11">
        <v>157</v>
      </c>
      <c r="G11" s="11"/>
      <c r="J11" s="12"/>
      <c r="K11" s="11"/>
      <c r="L11" s="11"/>
      <c r="M11" s="9" t="s">
        <v>199</v>
      </c>
      <c r="N11" s="11">
        <v>100</v>
      </c>
      <c r="O11" s="11"/>
      <c r="P11" s="9"/>
      <c r="Q11" s="11"/>
      <c r="R11" s="11"/>
      <c r="S11" s="12"/>
      <c r="T11">
        <v>160</v>
      </c>
    </row>
    <row r="12" spans="1:20" x14ac:dyDescent="0.25">
      <c r="A12" s="10"/>
      <c r="B12" s="9" t="s">
        <v>391</v>
      </c>
      <c r="C12" s="11">
        <v>1500</v>
      </c>
      <c r="D12" s="11"/>
      <c r="E12" s="9" t="s">
        <v>16</v>
      </c>
      <c r="F12" s="11">
        <v>300</v>
      </c>
      <c r="G12" s="11"/>
      <c r="J12" s="12"/>
      <c r="K12" s="11"/>
      <c r="L12" s="11"/>
      <c r="M12" s="9" t="s">
        <v>200</v>
      </c>
      <c r="N12" s="11">
        <v>13</v>
      </c>
      <c r="O12" s="11"/>
      <c r="P12" s="9"/>
      <c r="Q12" s="11"/>
      <c r="R12" s="11"/>
      <c r="S12" s="12"/>
    </row>
    <row r="13" spans="1:20" x14ac:dyDescent="0.25">
      <c r="A13" s="10"/>
      <c r="B13" s="9" t="s">
        <v>424</v>
      </c>
      <c r="C13" s="11"/>
      <c r="D13" s="11"/>
      <c r="E13" s="9" t="s">
        <v>403</v>
      </c>
      <c r="F13" s="11">
        <v>52</v>
      </c>
      <c r="G13" s="11"/>
      <c r="J13" s="12"/>
      <c r="K13" s="11"/>
      <c r="L13" s="11"/>
      <c r="M13" s="9" t="s">
        <v>201</v>
      </c>
      <c r="N13" s="11">
        <v>13</v>
      </c>
      <c r="O13" s="11"/>
      <c r="P13" s="9"/>
      <c r="Q13" s="11"/>
      <c r="R13" s="11"/>
      <c r="S13" s="12"/>
    </row>
    <row r="14" spans="1:20" x14ac:dyDescent="0.25">
      <c r="A14" s="10"/>
      <c r="B14" s="9" t="s">
        <v>425</v>
      </c>
      <c r="C14" s="11"/>
      <c r="D14" s="11"/>
      <c r="E14" s="9" t="s">
        <v>40</v>
      </c>
      <c r="F14" s="11">
        <v>13</v>
      </c>
      <c r="G14" s="11"/>
      <c r="J14" s="12"/>
      <c r="K14" s="11"/>
      <c r="L14" s="11"/>
      <c r="M14" s="9"/>
      <c r="N14" s="11"/>
      <c r="O14" s="11"/>
      <c r="P14" s="9"/>
      <c r="Q14" s="11"/>
      <c r="R14" s="11"/>
      <c r="S14" s="12"/>
      <c r="T14">
        <f>SUM(T8:T11)</f>
        <v>560</v>
      </c>
    </row>
    <row r="15" spans="1:20" x14ac:dyDescent="0.25">
      <c r="A15" s="10"/>
      <c r="B15" s="9" t="s">
        <v>426</v>
      </c>
      <c r="C15" s="11"/>
      <c r="D15" s="11"/>
      <c r="E15" s="9" t="s">
        <v>203</v>
      </c>
      <c r="F15" s="11">
        <v>100</v>
      </c>
      <c r="G15" s="11"/>
      <c r="H15" s="9"/>
      <c r="I15" s="11"/>
      <c r="J15" s="12"/>
      <c r="K15" s="11"/>
      <c r="L15" s="11"/>
      <c r="M15" s="9"/>
      <c r="N15" s="11"/>
      <c r="O15" s="11"/>
      <c r="P15" s="9"/>
      <c r="Q15" s="11"/>
      <c r="R15" s="11"/>
      <c r="S15" s="12"/>
    </row>
    <row r="16" spans="1:20" x14ac:dyDescent="0.25">
      <c r="A16" s="10"/>
      <c r="B16" s="9" t="s">
        <v>428</v>
      </c>
      <c r="C16" s="11">
        <v>247</v>
      </c>
      <c r="D16" s="11"/>
      <c r="E16" s="9" t="s">
        <v>390</v>
      </c>
      <c r="F16" s="11">
        <v>131</v>
      </c>
      <c r="G16" s="11"/>
      <c r="H16" s="11"/>
      <c r="I16" s="11"/>
      <c r="J16" s="12"/>
      <c r="K16" s="11"/>
      <c r="L16" s="11"/>
      <c r="M16" s="9"/>
      <c r="N16" s="11"/>
      <c r="O16" s="11"/>
      <c r="P16" s="11"/>
      <c r="Q16" s="11"/>
      <c r="R16" s="11"/>
      <c r="S16" s="12"/>
    </row>
    <row r="17" spans="1:19" x14ac:dyDescent="0.25">
      <c r="A17" s="10"/>
      <c r="B17" s="9" t="s">
        <v>430</v>
      </c>
      <c r="C17" s="11"/>
      <c r="D17" s="11"/>
      <c r="E17" s="9"/>
      <c r="F17" s="11"/>
      <c r="G17" s="11"/>
      <c r="H17" s="11"/>
      <c r="I17" s="11"/>
      <c r="J17" s="12"/>
      <c r="K17" s="11"/>
      <c r="L17" s="11"/>
      <c r="M17" s="9"/>
      <c r="N17" s="11"/>
      <c r="O17" s="11"/>
      <c r="P17" s="11"/>
      <c r="Q17" s="11"/>
      <c r="R17" s="11"/>
      <c r="S17" s="12"/>
    </row>
    <row r="18" spans="1:19" x14ac:dyDescent="0.25">
      <c r="A18" s="10"/>
      <c r="B18" s="9" t="s">
        <v>429</v>
      </c>
      <c r="C18" s="11"/>
      <c r="D18" s="11"/>
      <c r="E18" s="9"/>
      <c r="F18" s="11"/>
      <c r="G18" s="11"/>
      <c r="H18" s="11"/>
      <c r="I18" s="11"/>
      <c r="J18" s="12"/>
      <c r="K18" s="11"/>
      <c r="L18" s="11"/>
      <c r="M18" s="9"/>
      <c r="N18" s="11"/>
      <c r="O18" s="11"/>
      <c r="P18" s="11"/>
      <c r="Q18" s="11"/>
      <c r="R18" s="11"/>
      <c r="S18" s="12"/>
    </row>
    <row r="19" spans="1:19" x14ac:dyDescent="0.25">
      <c r="A19" s="10"/>
      <c r="B19" s="11"/>
      <c r="C19" s="11"/>
      <c r="D19" s="11"/>
      <c r="E19" s="9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2"/>
    </row>
    <row r="20" spans="1:19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  <c r="S20" s="12"/>
    </row>
    <row r="21" spans="1:19" x14ac:dyDescent="0.25">
      <c r="A21" s="10"/>
      <c r="B21" s="11"/>
      <c r="C21" s="11"/>
      <c r="D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  <c r="S21" s="12"/>
    </row>
    <row r="22" spans="1:19" x14ac:dyDescent="0.25">
      <c r="A22" s="10"/>
      <c r="B22" s="14" t="s">
        <v>6</v>
      </c>
      <c r="C22" s="11">
        <f>SUM(C7:C19)</f>
        <v>2186</v>
      </c>
      <c r="D22" s="11"/>
      <c r="E22" s="11"/>
      <c r="F22" s="11">
        <f>SUM(F7:F20)+150</f>
        <v>3061</v>
      </c>
      <c r="G22" s="11"/>
      <c r="H22" s="11"/>
      <c r="I22" s="11">
        <f>SUM(I7:I19)</f>
        <v>0</v>
      </c>
      <c r="J22" s="12"/>
      <c r="K22" s="11"/>
      <c r="L22" s="11"/>
      <c r="M22" s="11"/>
      <c r="N22" s="11">
        <f>SUM(N7:N19)</f>
        <v>976</v>
      </c>
      <c r="O22" s="11"/>
      <c r="P22" s="11"/>
      <c r="Q22" s="11">
        <f>SUM(Q7:Q18)</f>
        <v>0</v>
      </c>
      <c r="R22" s="11"/>
      <c r="S22" s="12"/>
    </row>
    <row r="23" spans="1:19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  <c r="S23" s="12"/>
    </row>
    <row r="24" spans="1:19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2"/>
    </row>
    <row r="26" spans="1:19" x14ac:dyDescent="0.25">
      <c r="A26" s="10"/>
      <c r="B26" s="11"/>
      <c r="C26" s="14" t="s">
        <v>15</v>
      </c>
      <c r="D26" s="11">
        <f>C22+F22+I22</f>
        <v>5247</v>
      </c>
      <c r="E26" s="11"/>
      <c r="F26" s="11"/>
      <c r="G26" s="11"/>
      <c r="H26" s="11"/>
      <c r="I26" s="11"/>
      <c r="J26" s="12"/>
      <c r="K26" s="14" t="s">
        <v>6</v>
      </c>
      <c r="L26" s="11"/>
      <c r="M26" s="11"/>
      <c r="N26" s="11"/>
      <c r="O26" s="11"/>
      <c r="P26" s="11">
        <f>N22+Q22</f>
        <v>976</v>
      </c>
      <c r="Q26" s="11"/>
      <c r="R26" s="11"/>
      <c r="S26" s="12"/>
    </row>
    <row r="27" spans="1:19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2"/>
    </row>
    <row r="28" spans="1:19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2"/>
    </row>
    <row r="29" spans="1:19" x14ac:dyDescent="0.25">
      <c r="A29" s="10"/>
      <c r="B29" s="14" t="s">
        <v>227</v>
      </c>
      <c r="C29" s="11">
        <f>ABS(G4-D26)</f>
        <v>5247</v>
      </c>
      <c r="D29" s="11"/>
      <c r="E29" s="11"/>
      <c r="F29" s="11"/>
      <c r="G29" s="11"/>
      <c r="H29" s="11"/>
      <c r="I29" s="11"/>
      <c r="J29" s="12"/>
      <c r="K29" s="14" t="s">
        <v>99</v>
      </c>
      <c r="L29" s="11">
        <f>O4-P26</f>
        <v>504</v>
      </c>
      <c r="M29" s="11"/>
      <c r="N29" s="11"/>
      <c r="O29" s="11"/>
      <c r="P29" s="11"/>
      <c r="Q29" s="11"/>
      <c r="R29" s="11"/>
      <c r="S29" s="12"/>
    </row>
    <row r="30" spans="1:19" x14ac:dyDescent="0.25">
      <c r="A30" s="10"/>
      <c r="B30" s="11"/>
      <c r="C30" s="11"/>
      <c r="D30" s="11"/>
      <c r="E30" s="11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2"/>
    </row>
    <row r="31" spans="1:19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9"/>
      <c r="B34" s="14" t="s">
        <v>113</v>
      </c>
      <c r="C34" s="11">
        <f>H4-D26</f>
        <v>953</v>
      </c>
      <c r="D34" s="11"/>
      <c r="E34" s="11"/>
      <c r="F34" s="11"/>
      <c r="G34" s="11"/>
      <c r="H34" s="11"/>
      <c r="I34" s="11"/>
      <c r="J34" s="11">
        <f>C29+L29</f>
        <v>5751</v>
      </c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5">
      <c r="A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25">
      <c r="E36">
        <f>5.2+13.8+10.96+13+13+21+6.99+47+62+12+68+40</f>
        <v>312.95</v>
      </c>
    </row>
    <row r="39" spans="1:19" x14ac:dyDescent="0.25">
      <c r="I39" t="s">
        <v>376</v>
      </c>
      <c r="J39">
        <v>39</v>
      </c>
      <c r="L39" t="s">
        <v>382</v>
      </c>
      <c r="M39">
        <f>SUM(J39:J58)</f>
        <v>22002</v>
      </c>
    </row>
    <row r="40" spans="1:19" ht="16.5" x14ac:dyDescent="0.3">
      <c r="E40" s="22" t="s">
        <v>364</v>
      </c>
      <c r="F40">
        <v>500</v>
      </c>
      <c r="I40" t="s">
        <v>377</v>
      </c>
      <c r="J40">
        <v>100</v>
      </c>
    </row>
    <row r="41" spans="1:19" ht="16.5" x14ac:dyDescent="0.3">
      <c r="E41" s="22" t="s">
        <v>365</v>
      </c>
      <c r="F41">
        <v>800</v>
      </c>
      <c r="I41" t="s">
        <v>378</v>
      </c>
      <c r="J41">
        <v>21</v>
      </c>
    </row>
    <row r="42" spans="1:19" ht="16.5" x14ac:dyDescent="0.3">
      <c r="E42" s="22" t="s">
        <v>366</v>
      </c>
      <c r="F42">
        <v>200</v>
      </c>
      <c r="I42" t="s">
        <v>379</v>
      </c>
      <c r="J42">
        <v>20</v>
      </c>
    </row>
    <row r="43" spans="1:19" ht="16.5" x14ac:dyDescent="0.3">
      <c r="E43" s="22" t="s">
        <v>367</v>
      </c>
      <c r="F43">
        <v>2000</v>
      </c>
      <c r="I43" t="s">
        <v>380</v>
      </c>
      <c r="J43">
        <v>20</v>
      </c>
    </row>
    <row r="44" spans="1:19" ht="16.5" x14ac:dyDescent="0.3">
      <c r="E44" s="22" t="s">
        <v>373</v>
      </c>
      <c r="F44">
        <v>500</v>
      </c>
      <c r="I44" t="s">
        <v>380</v>
      </c>
      <c r="J44">
        <v>27</v>
      </c>
    </row>
    <row r="45" spans="1:19" ht="16.5" x14ac:dyDescent="0.3">
      <c r="E45" s="22" t="s">
        <v>368</v>
      </c>
      <c r="F45">
        <v>100</v>
      </c>
      <c r="I45" t="s">
        <v>381</v>
      </c>
      <c r="J45">
        <v>67</v>
      </c>
    </row>
    <row r="46" spans="1:19" ht="16.5" x14ac:dyDescent="0.3">
      <c r="E46" s="22" t="s">
        <v>369</v>
      </c>
      <c r="F46">
        <v>67</v>
      </c>
      <c r="I46" t="s">
        <v>101</v>
      </c>
      <c r="J46">
        <v>28</v>
      </c>
    </row>
    <row r="47" spans="1:19" ht="16.5" x14ac:dyDescent="0.3">
      <c r="E47" s="22" t="s">
        <v>370</v>
      </c>
      <c r="F47">
        <v>50</v>
      </c>
      <c r="I47" t="s">
        <v>383</v>
      </c>
      <c r="J47">
        <v>31</v>
      </c>
    </row>
    <row r="48" spans="1:19" ht="16.5" x14ac:dyDescent="0.3">
      <c r="E48" s="22" t="s">
        <v>371</v>
      </c>
      <c r="F48">
        <v>70</v>
      </c>
      <c r="I48" t="s">
        <v>384</v>
      </c>
      <c r="J48">
        <v>32</v>
      </c>
    </row>
    <row r="49" spans="2:10" ht="16.5" x14ac:dyDescent="0.3">
      <c r="E49" s="22" t="s">
        <v>372</v>
      </c>
      <c r="F49">
        <v>300</v>
      </c>
      <c r="I49" t="s">
        <v>385</v>
      </c>
      <c r="J49">
        <v>46</v>
      </c>
    </row>
    <row r="50" spans="2:10" ht="16.5" x14ac:dyDescent="0.3">
      <c r="E50" s="22" t="s">
        <v>374</v>
      </c>
      <c r="F50">
        <v>100</v>
      </c>
      <c r="I50" t="s">
        <v>108</v>
      </c>
      <c r="J50">
        <v>20914</v>
      </c>
    </row>
    <row r="51" spans="2:10" x14ac:dyDescent="0.25">
      <c r="I51" t="s">
        <v>387</v>
      </c>
      <c r="J51">
        <v>357</v>
      </c>
    </row>
    <row r="52" spans="2:10" x14ac:dyDescent="0.25">
      <c r="J52">
        <v>300</v>
      </c>
    </row>
    <row r="54" spans="2:10" x14ac:dyDescent="0.25">
      <c r="F54">
        <f>SUM(F40:F50)</f>
        <v>4687</v>
      </c>
    </row>
    <row r="62" spans="2:10" x14ac:dyDescent="0.25">
      <c r="B62" s="14" t="s">
        <v>3</v>
      </c>
      <c r="C62" s="11">
        <v>1900</v>
      </c>
    </row>
    <row r="98" spans="2:16" x14ac:dyDescent="0.25">
      <c r="B98">
        <v>3000</v>
      </c>
    </row>
    <row r="99" spans="2:16" x14ac:dyDescent="0.25">
      <c r="B99">
        <v>2500</v>
      </c>
      <c r="J99">
        <v>3000</v>
      </c>
    </row>
    <row r="100" spans="2:16" x14ac:dyDescent="0.25">
      <c r="B100">
        <v>2500</v>
      </c>
      <c r="J100">
        <v>600</v>
      </c>
    </row>
    <row r="101" spans="2:16" x14ac:dyDescent="0.25">
      <c r="B101">
        <v>800</v>
      </c>
    </row>
    <row r="102" spans="2:16" x14ac:dyDescent="0.25">
      <c r="B102">
        <v>700</v>
      </c>
    </row>
    <row r="106" spans="2:16" x14ac:dyDescent="0.25">
      <c r="B106">
        <f>SUM(B98:B102)</f>
        <v>9500</v>
      </c>
      <c r="D106">
        <f>B106-7000</f>
        <v>2500</v>
      </c>
    </row>
    <row r="107" spans="2:16" x14ac:dyDescent="0.25">
      <c r="P107">
        <v>126</v>
      </c>
    </row>
    <row r="108" spans="2:16" x14ac:dyDescent="0.25">
      <c r="P108" s="11">
        <v>12</v>
      </c>
    </row>
    <row r="109" spans="2:16" x14ac:dyDescent="0.25">
      <c r="P109" s="11">
        <v>10</v>
      </c>
    </row>
    <row r="110" spans="2:16" x14ac:dyDescent="0.25">
      <c r="P110" s="11">
        <v>20</v>
      </c>
    </row>
    <row r="111" spans="2:16" x14ac:dyDescent="0.25">
      <c r="P111" s="11">
        <v>20</v>
      </c>
    </row>
    <row r="112" spans="2:16" x14ac:dyDescent="0.25">
      <c r="P112" s="11">
        <v>20</v>
      </c>
    </row>
    <row r="113" spans="5:16" x14ac:dyDescent="0.25">
      <c r="P113" s="11">
        <v>3.99</v>
      </c>
    </row>
    <row r="114" spans="5:16" x14ac:dyDescent="0.25">
      <c r="P114" s="11">
        <v>100</v>
      </c>
    </row>
    <row r="115" spans="5:16" x14ac:dyDescent="0.25">
      <c r="E115">
        <v>1400</v>
      </c>
      <c r="P115" s="11">
        <v>75</v>
      </c>
    </row>
    <row r="116" spans="5:16" x14ac:dyDescent="0.25">
      <c r="E116">
        <v>1300</v>
      </c>
      <c r="P116" s="11">
        <v>60</v>
      </c>
    </row>
    <row r="117" spans="5:16" x14ac:dyDescent="0.25">
      <c r="E117">
        <v>950</v>
      </c>
      <c r="P117" s="11"/>
    </row>
    <row r="118" spans="5:16" x14ac:dyDescent="0.25">
      <c r="P118" s="11">
        <v>70</v>
      </c>
    </row>
    <row r="121" spans="5:16" x14ac:dyDescent="0.25">
      <c r="E121">
        <f>SUM(E115:E119)</f>
        <v>3650</v>
      </c>
    </row>
    <row r="125" spans="5:16" x14ac:dyDescent="0.25">
      <c r="P125">
        <f>SUM(P105:P122)</f>
        <v>516.99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066F-70AB-4CE0-9413-18C0CA619219}">
  <dimension ref="A1:O41"/>
  <sheetViews>
    <sheetView workbookViewId="0">
      <selection activeCell="B30" sqref="B30"/>
    </sheetView>
  </sheetViews>
  <sheetFormatPr baseColWidth="10" defaultRowHeight="15.75" x14ac:dyDescent="0.25"/>
  <cols>
    <col min="7" max="7" width="12" bestFit="1" customWidth="1"/>
  </cols>
  <sheetData>
    <row r="1" spans="1:15" x14ac:dyDescent="0.25">
      <c r="A1" t="s">
        <v>204</v>
      </c>
      <c r="B1" t="s">
        <v>14</v>
      </c>
    </row>
    <row r="2" spans="1:15" x14ac:dyDescent="0.25">
      <c r="A2">
        <v>11500</v>
      </c>
      <c r="B2">
        <v>10000</v>
      </c>
      <c r="G2" t="s">
        <v>217</v>
      </c>
    </row>
    <row r="3" spans="1:15" x14ac:dyDescent="0.25">
      <c r="G3" t="s">
        <v>218</v>
      </c>
      <c r="H3">
        <v>3000</v>
      </c>
    </row>
    <row r="4" spans="1:15" x14ac:dyDescent="0.25">
      <c r="G4" t="s">
        <v>219</v>
      </c>
      <c r="H4">
        <v>4000</v>
      </c>
    </row>
    <row r="5" spans="1:15" x14ac:dyDescent="0.25">
      <c r="G5" t="s">
        <v>220</v>
      </c>
      <c r="H5">
        <v>3000</v>
      </c>
      <c r="J5">
        <v>1500</v>
      </c>
    </row>
    <row r="6" spans="1:15" x14ac:dyDescent="0.25">
      <c r="A6" t="s">
        <v>6</v>
      </c>
      <c r="B6">
        <f>SUM(A2:G2)</f>
        <v>21500</v>
      </c>
      <c r="G6" t="s">
        <v>221</v>
      </c>
      <c r="H6">
        <v>5000</v>
      </c>
      <c r="J6">
        <v>153</v>
      </c>
    </row>
    <row r="7" spans="1:15" x14ac:dyDescent="0.25">
      <c r="G7" t="s">
        <v>222</v>
      </c>
      <c r="H7">
        <v>4000</v>
      </c>
      <c r="J7">
        <v>163</v>
      </c>
      <c r="L7" t="s">
        <v>393</v>
      </c>
      <c r="M7">
        <v>500</v>
      </c>
      <c r="O7">
        <v>400</v>
      </c>
    </row>
    <row r="8" spans="1:15" x14ac:dyDescent="0.25">
      <c r="G8" t="s">
        <v>224</v>
      </c>
      <c r="H8">
        <v>4000</v>
      </c>
      <c r="J8">
        <v>400</v>
      </c>
      <c r="L8" t="s">
        <v>234</v>
      </c>
      <c r="M8">
        <v>500</v>
      </c>
      <c r="O8">
        <v>300</v>
      </c>
    </row>
    <row r="9" spans="1:15" x14ac:dyDescent="0.25">
      <c r="G9" t="s">
        <v>233</v>
      </c>
      <c r="H9">
        <v>3000</v>
      </c>
      <c r="J9">
        <v>300</v>
      </c>
      <c r="L9" t="s">
        <v>240</v>
      </c>
      <c r="M9">
        <v>500</v>
      </c>
    </row>
    <row r="10" spans="1:15" x14ac:dyDescent="0.25">
      <c r="G10" t="s">
        <v>234</v>
      </c>
      <c r="H10">
        <v>3000</v>
      </c>
      <c r="I10" t="s">
        <v>223</v>
      </c>
      <c r="J10">
        <v>1300</v>
      </c>
      <c r="L10" t="s">
        <v>241</v>
      </c>
      <c r="M10">
        <v>500</v>
      </c>
    </row>
    <row r="11" spans="1:15" x14ac:dyDescent="0.25">
      <c r="G11" t="s">
        <v>240</v>
      </c>
      <c r="H11">
        <v>3000</v>
      </c>
      <c r="J11">
        <v>1000</v>
      </c>
      <c r="L11" t="s">
        <v>222</v>
      </c>
    </row>
    <row r="12" spans="1:15" x14ac:dyDescent="0.25">
      <c r="J12">
        <v>300</v>
      </c>
      <c r="L12" t="s">
        <v>427</v>
      </c>
    </row>
    <row r="13" spans="1:15" x14ac:dyDescent="0.25">
      <c r="L13" t="s">
        <v>221</v>
      </c>
    </row>
    <row r="14" spans="1:15" x14ac:dyDescent="0.25">
      <c r="J14">
        <f>SUM(J5:J12)</f>
        <v>5116</v>
      </c>
    </row>
    <row r="16" spans="1:15" x14ac:dyDescent="0.25">
      <c r="I16" t="s">
        <v>99</v>
      </c>
      <c r="J16">
        <f>J14-M22</f>
        <v>3116</v>
      </c>
    </row>
    <row r="17" spans="1:15" x14ac:dyDescent="0.25">
      <c r="O17" t="s">
        <v>223</v>
      </c>
    </row>
    <row r="19" spans="1:15" x14ac:dyDescent="0.25">
      <c r="F19" t="s">
        <v>6</v>
      </c>
      <c r="H19">
        <f>SUM(H3:H17)</f>
        <v>32000</v>
      </c>
    </row>
    <row r="20" spans="1:15" x14ac:dyDescent="0.25">
      <c r="A20" t="s">
        <v>99</v>
      </c>
      <c r="B20">
        <f>B6-F41</f>
        <v>19500</v>
      </c>
    </row>
    <row r="22" spans="1:15" x14ac:dyDescent="0.25">
      <c r="M22">
        <f>SUM(M7:M20)</f>
        <v>2000</v>
      </c>
    </row>
    <row r="24" spans="1:15" x14ac:dyDescent="0.25">
      <c r="A24" s="17" t="s">
        <v>226</v>
      </c>
      <c r="B24" s="17"/>
      <c r="C24" s="17"/>
      <c r="D24" s="17"/>
      <c r="E24" s="17"/>
      <c r="F24" s="17"/>
    </row>
    <row r="25" spans="1:15" x14ac:dyDescent="0.25">
      <c r="A25" s="17"/>
      <c r="B25" s="17"/>
      <c r="C25" s="17"/>
      <c r="D25" s="17"/>
      <c r="E25" s="17"/>
      <c r="F25" s="17"/>
    </row>
    <row r="26" spans="1:15" x14ac:dyDescent="0.25">
      <c r="A26" s="18"/>
      <c r="B26" s="18" t="s">
        <v>235</v>
      </c>
      <c r="C26" s="18" t="s">
        <v>236</v>
      </c>
      <c r="D26" s="18" t="s">
        <v>232</v>
      </c>
      <c r="E26" s="18" t="s">
        <v>237</v>
      </c>
      <c r="F26" s="17"/>
    </row>
    <row r="27" spans="1:15" x14ac:dyDescent="0.25">
      <c r="A27" s="17" t="s">
        <v>234</v>
      </c>
      <c r="B27" s="17">
        <v>500</v>
      </c>
      <c r="C27" s="17"/>
      <c r="D27" s="17"/>
      <c r="E27" s="17"/>
      <c r="F27" s="17"/>
    </row>
    <row r="28" spans="1:15" x14ac:dyDescent="0.25">
      <c r="A28" s="17" t="s">
        <v>240</v>
      </c>
      <c r="B28" s="17"/>
      <c r="C28" s="17">
        <v>1000</v>
      </c>
      <c r="D28" s="17"/>
      <c r="E28" s="17"/>
      <c r="F28" s="17"/>
    </row>
    <row r="29" spans="1:15" x14ac:dyDescent="0.25">
      <c r="A29" s="17" t="s">
        <v>241</v>
      </c>
      <c r="B29" s="17">
        <v>500</v>
      </c>
      <c r="C29" s="17"/>
      <c r="D29" s="17"/>
      <c r="E29" s="17"/>
      <c r="F29" s="17"/>
    </row>
    <row r="30" spans="1:15" x14ac:dyDescent="0.25">
      <c r="A30" s="17" t="s">
        <v>222</v>
      </c>
      <c r="B30" s="17"/>
      <c r="C30" s="17"/>
      <c r="D30" s="17"/>
      <c r="E30" s="17"/>
      <c r="F30" s="17"/>
    </row>
    <row r="31" spans="1:15" x14ac:dyDescent="0.25">
      <c r="A31" s="17" t="s">
        <v>242</v>
      </c>
      <c r="B31" s="17"/>
      <c r="C31" s="17"/>
      <c r="D31" s="17"/>
      <c r="E31" s="17"/>
      <c r="F31" s="17"/>
    </row>
    <row r="32" spans="1:15" x14ac:dyDescent="0.25">
      <c r="A32" s="17" t="s">
        <v>221</v>
      </c>
      <c r="B32" s="17"/>
      <c r="C32" s="17"/>
      <c r="D32" s="17"/>
      <c r="E32" s="17"/>
      <c r="F32" s="17"/>
    </row>
    <row r="33" spans="1:6" x14ac:dyDescent="0.25">
      <c r="A33" s="17" t="s">
        <v>243</v>
      </c>
      <c r="B33" s="17"/>
      <c r="C33" s="17"/>
      <c r="D33" s="17"/>
      <c r="E33" s="17"/>
      <c r="F33" s="17"/>
    </row>
    <row r="34" spans="1:6" x14ac:dyDescent="0.25">
      <c r="A34" s="17"/>
      <c r="B34" s="17"/>
      <c r="C34" s="17"/>
      <c r="D34" s="17"/>
      <c r="E34" s="17"/>
      <c r="F34" s="17"/>
    </row>
    <row r="35" spans="1:6" x14ac:dyDescent="0.25">
      <c r="A35" s="17"/>
      <c r="B35" s="17"/>
      <c r="C35" s="17"/>
      <c r="D35" s="17"/>
      <c r="E35" s="17"/>
      <c r="F35" s="17"/>
    </row>
    <row r="36" spans="1:6" x14ac:dyDescent="0.25">
      <c r="A36" s="17"/>
      <c r="B36" s="17"/>
      <c r="C36" s="17"/>
      <c r="D36" s="17"/>
      <c r="E36" s="17"/>
      <c r="F36" s="17"/>
    </row>
    <row r="37" spans="1:6" x14ac:dyDescent="0.25">
      <c r="A37" s="17"/>
      <c r="B37" s="17"/>
      <c r="C37" s="17"/>
      <c r="D37" s="17"/>
      <c r="E37" s="17"/>
      <c r="F37" s="17"/>
    </row>
    <row r="38" spans="1:6" x14ac:dyDescent="0.25">
      <c r="A38" s="17"/>
      <c r="B38" s="17"/>
      <c r="C38" s="17"/>
      <c r="D38" s="17"/>
      <c r="E38" s="17"/>
      <c r="F38" s="17"/>
    </row>
    <row r="39" spans="1:6" x14ac:dyDescent="0.25">
      <c r="A39" s="17"/>
      <c r="B39" s="17"/>
      <c r="C39" s="17"/>
      <c r="D39" s="17"/>
      <c r="E39" s="17"/>
      <c r="F39" s="17"/>
    </row>
    <row r="40" spans="1:6" x14ac:dyDescent="0.25">
      <c r="A40" s="17"/>
      <c r="B40" s="17"/>
      <c r="C40" s="17"/>
      <c r="D40" s="17"/>
      <c r="E40" s="17"/>
      <c r="F40" s="17"/>
    </row>
    <row r="41" spans="1:6" x14ac:dyDescent="0.25">
      <c r="A41" s="18" t="s">
        <v>6</v>
      </c>
      <c r="B41" s="18">
        <f>SUM(B27:B39)</f>
        <v>1000</v>
      </c>
      <c r="C41" s="18">
        <f>SUM(C27:C39)</f>
        <v>1000</v>
      </c>
      <c r="D41" s="18">
        <f>SUM(D27:D39)</f>
        <v>0</v>
      </c>
      <c r="E41" s="18">
        <f>SUM(E27:E39)</f>
        <v>0</v>
      </c>
      <c r="F41" s="18">
        <f>SUM(B41:E41)</f>
        <v>2000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FB8E-CB12-475E-9D50-00930E5BD370}">
  <dimension ref="A1:J36"/>
  <sheetViews>
    <sheetView topLeftCell="A19" workbookViewId="0">
      <selection activeCell="F34" sqref="F34"/>
    </sheetView>
  </sheetViews>
  <sheetFormatPr baseColWidth="10" defaultRowHeight="15.75" x14ac:dyDescent="0.25"/>
  <cols>
    <col min="1" max="1" width="11.125" bestFit="1" customWidth="1"/>
    <col min="4" max="4" width="18.75" customWidth="1"/>
    <col min="5" max="5" width="14" bestFit="1" customWidth="1"/>
    <col min="6" max="6" width="22.25" customWidth="1"/>
    <col min="7" max="7" width="13" bestFit="1" customWidth="1"/>
    <col min="9" max="9" width="20.875" bestFit="1" customWidth="1"/>
  </cols>
  <sheetData>
    <row r="1" spans="1:10" x14ac:dyDescent="0.25">
      <c r="C1" t="s">
        <v>281</v>
      </c>
      <c r="D1" t="s">
        <v>282</v>
      </c>
      <c r="E1" t="s">
        <v>279</v>
      </c>
      <c r="F1" t="s">
        <v>280</v>
      </c>
      <c r="G1" t="s">
        <v>283</v>
      </c>
      <c r="I1" t="s">
        <v>314</v>
      </c>
      <c r="J1" t="s">
        <v>313</v>
      </c>
    </row>
    <row r="2" spans="1:10" x14ac:dyDescent="0.25">
      <c r="A2" t="s">
        <v>284</v>
      </c>
      <c r="B2" t="s">
        <v>309</v>
      </c>
      <c r="C2" s="20">
        <v>9456</v>
      </c>
      <c r="D2" s="20">
        <f>C2+(C2*20%)</f>
        <v>11347.2</v>
      </c>
      <c r="E2" s="20">
        <f>C2*21%</f>
        <v>1985.76</v>
      </c>
      <c r="F2" s="20">
        <f>C2-E2</f>
        <v>7470.24</v>
      </c>
      <c r="G2" s="20">
        <f>D2-C2</f>
        <v>1891.2000000000007</v>
      </c>
    </row>
    <row r="3" spans="1:10" x14ac:dyDescent="0.25">
      <c r="A3" t="s">
        <v>285</v>
      </c>
      <c r="B3" t="s">
        <v>309</v>
      </c>
      <c r="C3" s="5">
        <v>0</v>
      </c>
      <c r="D3" s="5">
        <f>C3+(C3*20%)</f>
        <v>0</v>
      </c>
      <c r="E3" s="5">
        <f>C3*21%</f>
        <v>0</v>
      </c>
      <c r="F3" s="5">
        <f>C3-E3</f>
        <v>0</v>
      </c>
      <c r="G3" s="5">
        <f>D3-C3</f>
        <v>0</v>
      </c>
    </row>
    <row r="5" spans="1:10" x14ac:dyDescent="0.25">
      <c r="A5" t="s">
        <v>311</v>
      </c>
      <c r="C5">
        <f>C2+C3</f>
        <v>9456</v>
      </c>
      <c r="D5">
        <f>D2+D3</f>
        <v>11347.2</v>
      </c>
      <c r="E5" s="5">
        <f>E2+E3</f>
        <v>1985.76</v>
      </c>
      <c r="F5" s="19">
        <f>F2+F3</f>
        <v>7470.24</v>
      </c>
      <c r="G5" s="5">
        <f>G2+G3</f>
        <v>1891.2000000000007</v>
      </c>
      <c r="I5">
        <f>E5+G5</f>
        <v>3876.9600000000009</v>
      </c>
    </row>
    <row r="9" spans="1:10" x14ac:dyDescent="0.25">
      <c r="A9" t="s">
        <v>284</v>
      </c>
      <c r="B9" t="s">
        <v>310</v>
      </c>
      <c r="C9" s="20">
        <v>9600</v>
      </c>
      <c r="D9" s="20">
        <f>C9+(C9*20%)</f>
        <v>11520</v>
      </c>
      <c r="E9" s="20">
        <f>C9*21%</f>
        <v>2016</v>
      </c>
      <c r="F9" s="20">
        <f>C9-E9</f>
        <v>7584</v>
      </c>
      <c r="G9" s="20">
        <f>D9-C9</f>
        <v>1920</v>
      </c>
    </row>
    <row r="10" spans="1:10" x14ac:dyDescent="0.25">
      <c r="A10" t="s">
        <v>285</v>
      </c>
      <c r="B10" t="s">
        <v>310</v>
      </c>
      <c r="C10" s="5">
        <f>1300+3200+600</f>
        <v>5100</v>
      </c>
      <c r="D10" s="5">
        <f>C10+(C10*20%)</f>
        <v>6120</v>
      </c>
      <c r="E10" s="5">
        <f>C10*21%</f>
        <v>1071</v>
      </c>
      <c r="F10" s="5">
        <f>C10-E10</f>
        <v>4029</v>
      </c>
      <c r="G10" s="5">
        <f>D10-C10</f>
        <v>1020</v>
      </c>
    </row>
    <row r="12" spans="1:10" x14ac:dyDescent="0.25">
      <c r="A12" t="s">
        <v>312</v>
      </c>
      <c r="C12">
        <f>C9+C10</f>
        <v>14700</v>
      </c>
      <c r="D12">
        <f>D9+D10</f>
        <v>17640</v>
      </c>
      <c r="E12" s="5">
        <f>E9+E10</f>
        <v>3087</v>
      </c>
      <c r="F12" s="19">
        <f>F9+F10</f>
        <v>11613</v>
      </c>
      <c r="G12" s="5">
        <f>G9+G10</f>
        <v>2940</v>
      </c>
      <c r="I12">
        <f>E12+G12</f>
        <v>6027</v>
      </c>
    </row>
    <row r="15" spans="1:10" x14ac:dyDescent="0.25">
      <c r="A15" t="s">
        <v>284</v>
      </c>
      <c r="B15" t="s">
        <v>361</v>
      </c>
      <c r="C15" s="20">
        <v>12000</v>
      </c>
      <c r="D15" s="20">
        <f>C15+(C15*20%)</f>
        <v>14400</v>
      </c>
      <c r="E15" s="20">
        <f>C15*21%</f>
        <v>2520</v>
      </c>
      <c r="F15" s="20">
        <f>C15-E15</f>
        <v>9480</v>
      </c>
      <c r="G15" s="20">
        <f>D15-C15</f>
        <v>2400</v>
      </c>
    </row>
    <row r="16" spans="1:10" x14ac:dyDescent="0.25">
      <c r="A16" t="s">
        <v>285</v>
      </c>
      <c r="B16" t="s">
        <v>361</v>
      </c>
      <c r="C16" s="5">
        <f>3000+3750+3375</f>
        <v>10125</v>
      </c>
      <c r="D16" s="5">
        <f>C16+(C16*20%)</f>
        <v>12150</v>
      </c>
      <c r="E16" s="5">
        <f>C16*21%</f>
        <v>2126.25</v>
      </c>
      <c r="F16" s="5">
        <f>C16-E16</f>
        <v>7998.75</v>
      </c>
      <c r="G16" s="5">
        <f>D16-C16</f>
        <v>2025</v>
      </c>
    </row>
    <row r="18" spans="1:9" x14ac:dyDescent="0.25">
      <c r="A18" t="s">
        <v>362</v>
      </c>
      <c r="C18">
        <f>C15+C16</f>
        <v>22125</v>
      </c>
      <c r="D18">
        <f>D15+D16</f>
        <v>26550</v>
      </c>
      <c r="E18" s="5">
        <f>E15+E16</f>
        <v>4646.25</v>
      </c>
      <c r="F18" s="19">
        <f>F15+F16</f>
        <v>17478.75</v>
      </c>
      <c r="G18" s="5">
        <f>G15+G16</f>
        <v>4425</v>
      </c>
      <c r="I18">
        <f>F18-4100</f>
        <v>13378.75</v>
      </c>
    </row>
    <row r="21" spans="1:9" x14ac:dyDescent="0.25">
      <c r="A21" t="s">
        <v>284</v>
      </c>
      <c r="B21" t="s">
        <v>218</v>
      </c>
      <c r="C21" s="20">
        <v>0</v>
      </c>
      <c r="D21" s="20">
        <f>C21+(C21*20%)</f>
        <v>0</v>
      </c>
      <c r="E21" s="20">
        <f>C21*21%</f>
        <v>0</v>
      </c>
      <c r="F21" s="20">
        <f>C21-E21</f>
        <v>0</v>
      </c>
      <c r="G21" s="20">
        <f>D21-C21</f>
        <v>0</v>
      </c>
    </row>
    <row r="22" spans="1:9" x14ac:dyDescent="0.25">
      <c r="A22" t="s">
        <v>285</v>
      </c>
      <c r="B22" t="s">
        <v>361</v>
      </c>
      <c r="C22" s="5">
        <v>19000</v>
      </c>
      <c r="D22" s="5">
        <f>C22+(C22*20%)</f>
        <v>22800</v>
      </c>
      <c r="E22" s="5">
        <f>C22*23%</f>
        <v>4370</v>
      </c>
      <c r="F22" s="5">
        <f>C22-E22</f>
        <v>14630</v>
      </c>
      <c r="G22" s="5">
        <f>D22-C22</f>
        <v>3800</v>
      </c>
    </row>
    <row r="24" spans="1:9" x14ac:dyDescent="0.25">
      <c r="A24" t="s">
        <v>362</v>
      </c>
      <c r="C24">
        <f>C21+C22</f>
        <v>19000</v>
      </c>
      <c r="D24">
        <f>D21+D22</f>
        <v>22800</v>
      </c>
      <c r="E24" s="5">
        <f>E21+E22</f>
        <v>4370</v>
      </c>
      <c r="F24" s="19">
        <f>F21+F22</f>
        <v>14630</v>
      </c>
      <c r="G24" s="5">
        <f>G21+G22</f>
        <v>3800</v>
      </c>
      <c r="I24">
        <f>F24-4100</f>
        <v>10530</v>
      </c>
    </row>
    <row r="27" spans="1:9" x14ac:dyDescent="0.25">
      <c r="A27" t="s">
        <v>284</v>
      </c>
      <c r="B27" t="s">
        <v>234</v>
      </c>
      <c r="C27" s="20">
        <v>0</v>
      </c>
      <c r="D27" s="20">
        <f>C27+(C27*20%)</f>
        <v>0</v>
      </c>
      <c r="E27" s="20">
        <f>C27*21%</f>
        <v>0</v>
      </c>
      <c r="F27" s="20">
        <f>C27-E27</f>
        <v>0</v>
      </c>
      <c r="G27" s="20">
        <f>D27-C27</f>
        <v>0</v>
      </c>
    </row>
    <row r="28" spans="1:9" x14ac:dyDescent="0.25">
      <c r="A28" t="s">
        <v>285</v>
      </c>
      <c r="B28" t="s">
        <v>361</v>
      </c>
      <c r="C28" s="5">
        <v>8150</v>
      </c>
      <c r="D28" s="5">
        <f>C28+(C28*20%)</f>
        <v>9780</v>
      </c>
      <c r="E28" s="5">
        <f>C28*21%</f>
        <v>1711.5</v>
      </c>
      <c r="F28" s="5">
        <f>C28-E28</f>
        <v>6438.5</v>
      </c>
      <c r="G28" s="5">
        <f>D28-C28</f>
        <v>1630</v>
      </c>
    </row>
    <row r="30" spans="1:9" x14ac:dyDescent="0.25">
      <c r="A30" t="s">
        <v>362</v>
      </c>
      <c r="C30">
        <f>C27+C28</f>
        <v>8150</v>
      </c>
      <c r="D30">
        <f>D27+D28</f>
        <v>9780</v>
      </c>
      <c r="E30" s="5">
        <f>E27+E28</f>
        <v>1711.5</v>
      </c>
      <c r="F30" s="19">
        <f>F27+F28</f>
        <v>6438.5</v>
      </c>
      <c r="G30" s="5">
        <f>G27+G28</f>
        <v>1630</v>
      </c>
    </row>
    <row r="33" spans="1:7" x14ac:dyDescent="0.25">
      <c r="A33" t="s">
        <v>284</v>
      </c>
      <c r="B33" s="24">
        <v>45658</v>
      </c>
      <c r="C33" s="20">
        <v>0</v>
      </c>
      <c r="D33" s="20">
        <f>C33+(C33*20%)</f>
        <v>0</v>
      </c>
      <c r="E33" s="20">
        <f>C33*21%</f>
        <v>0</v>
      </c>
      <c r="F33" s="20">
        <f>C33-E33</f>
        <v>0</v>
      </c>
      <c r="G33" s="20">
        <f>D33-C33</f>
        <v>0</v>
      </c>
    </row>
    <row r="34" spans="1:7" x14ac:dyDescent="0.25">
      <c r="A34" t="s">
        <v>285</v>
      </c>
      <c r="B34" t="s">
        <v>361</v>
      </c>
      <c r="C34" s="5">
        <v>3750</v>
      </c>
      <c r="D34" s="5">
        <f>C34+(C34*20%)</f>
        <v>4500</v>
      </c>
      <c r="E34" s="5">
        <f>C34*26%</f>
        <v>975</v>
      </c>
      <c r="F34" s="5">
        <f>C34-E34</f>
        <v>2775</v>
      </c>
      <c r="G34" s="5">
        <f>D34-C34</f>
        <v>750</v>
      </c>
    </row>
    <row r="36" spans="1:7" x14ac:dyDescent="0.25">
      <c r="A36" t="s">
        <v>362</v>
      </c>
      <c r="C36">
        <f>C33+C34</f>
        <v>3750</v>
      </c>
      <c r="D36">
        <f>D33+D34</f>
        <v>4500</v>
      </c>
      <c r="E36" s="5">
        <f>E33+E34</f>
        <v>975</v>
      </c>
      <c r="F36" s="19">
        <f>F33+F34</f>
        <v>2775</v>
      </c>
      <c r="G36" s="5">
        <f>G33+G34</f>
        <v>750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00D3-58F8-480F-AA59-9339E917FDF7}">
  <dimension ref="A1:R93"/>
  <sheetViews>
    <sheetView topLeftCell="A58" zoomScale="106" workbookViewId="0">
      <selection activeCell="C76" sqref="C76"/>
    </sheetView>
  </sheetViews>
  <sheetFormatPr baseColWidth="10" defaultRowHeight="15.75" x14ac:dyDescent="0.25"/>
  <cols>
    <col min="1" max="1" width="17.5" bestFit="1" customWidth="1"/>
    <col min="2" max="2" width="12" bestFit="1" customWidth="1"/>
    <col min="5" max="5" width="15.125" bestFit="1" customWidth="1"/>
    <col min="8" max="8" width="16" bestFit="1" customWidth="1"/>
    <col min="11" max="11" width="14.75" bestFit="1" customWidth="1"/>
    <col min="12" max="12" width="14.875" bestFit="1" customWidth="1"/>
    <col min="14" max="14" width="16.125" customWidth="1"/>
  </cols>
  <sheetData>
    <row r="1" spans="1:15" x14ac:dyDescent="0.25">
      <c r="A1" t="s">
        <v>244</v>
      </c>
      <c r="D1" t="s">
        <v>245</v>
      </c>
      <c r="H1" t="s">
        <v>247</v>
      </c>
      <c r="L1" t="s">
        <v>258</v>
      </c>
    </row>
    <row r="2" spans="1:15" x14ac:dyDescent="0.25">
      <c r="A2">
        <v>4700000</v>
      </c>
      <c r="D2" t="s">
        <v>246</v>
      </c>
      <c r="E2">
        <v>500000</v>
      </c>
      <c r="H2" t="s">
        <v>248</v>
      </c>
      <c r="J2">
        <v>418000</v>
      </c>
      <c r="L2">
        <f>SUM(J2:J55)</f>
        <v>4898500</v>
      </c>
    </row>
    <row r="3" spans="1:15" x14ac:dyDescent="0.25">
      <c r="D3" t="s">
        <v>246</v>
      </c>
      <c r="E3">
        <v>500000</v>
      </c>
      <c r="H3" t="s">
        <v>249</v>
      </c>
      <c r="J3">
        <v>432000</v>
      </c>
    </row>
    <row r="4" spans="1:15" x14ac:dyDescent="0.25">
      <c r="D4" t="s">
        <v>246</v>
      </c>
      <c r="E4">
        <v>300000</v>
      </c>
      <c r="H4" t="s">
        <v>250</v>
      </c>
      <c r="J4">
        <v>100000</v>
      </c>
    </row>
    <row r="5" spans="1:15" x14ac:dyDescent="0.25">
      <c r="D5" t="s">
        <v>246</v>
      </c>
      <c r="E5">
        <v>16000</v>
      </c>
      <c r="H5" t="s">
        <v>251</v>
      </c>
      <c r="J5">
        <v>25000</v>
      </c>
    </row>
    <row r="6" spans="1:15" x14ac:dyDescent="0.25">
      <c r="D6" t="s">
        <v>263</v>
      </c>
      <c r="E6">
        <v>800000</v>
      </c>
      <c r="H6" t="s">
        <v>252</v>
      </c>
      <c r="J6">
        <v>25000</v>
      </c>
      <c r="N6" t="s">
        <v>417</v>
      </c>
    </row>
    <row r="7" spans="1:15" x14ac:dyDescent="0.25">
      <c r="D7" t="s">
        <v>263</v>
      </c>
      <c r="E7">
        <v>1000000</v>
      </c>
      <c r="H7" t="s">
        <v>253</v>
      </c>
      <c r="J7">
        <v>60000</v>
      </c>
      <c r="N7" t="s">
        <v>393</v>
      </c>
      <c r="O7">
        <v>1000</v>
      </c>
    </row>
    <row r="8" spans="1:15" x14ac:dyDescent="0.25">
      <c r="D8" t="s">
        <v>286</v>
      </c>
      <c r="E8">
        <v>600000</v>
      </c>
      <c r="H8" t="s">
        <v>254</v>
      </c>
      <c r="J8">
        <v>35000</v>
      </c>
      <c r="N8" t="s">
        <v>418</v>
      </c>
      <c r="O8">
        <v>1000</v>
      </c>
    </row>
    <row r="9" spans="1:15" x14ac:dyDescent="0.25">
      <c r="D9" t="s">
        <v>246</v>
      </c>
      <c r="E9">
        <v>600000</v>
      </c>
      <c r="H9" t="s">
        <v>255</v>
      </c>
      <c r="J9">
        <v>28000</v>
      </c>
      <c r="N9" t="s">
        <v>419</v>
      </c>
      <c r="O9">
        <v>4000</v>
      </c>
    </row>
    <row r="10" spans="1:15" x14ac:dyDescent="0.25">
      <c r="D10" t="s">
        <v>246</v>
      </c>
      <c r="E10">
        <v>113000</v>
      </c>
      <c r="H10" t="s">
        <v>256</v>
      </c>
      <c r="J10">
        <v>20000</v>
      </c>
    </row>
    <row r="11" spans="1:15" x14ac:dyDescent="0.25">
      <c r="D11" t="s">
        <v>246</v>
      </c>
      <c r="E11">
        <v>500000</v>
      </c>
      <c r="H11" t="s">
        <v>257</v>
      </c>
      <c r="J11">
        <v>32000</v>
      </c>
    </row>
    <row r="12" spans="1:15" x14ac:dyDescent="0.25">
      <c r="D12" t="s">
        <v>286</v>
      </c>
      <c r="E12">
        <v>466000</v>
      </c>
      <c r="H12" t="s">
        <v>259</v>
      </c>
      <c r="J12">
        <v>125000</v>
      </c>
    </row>
    <row r="13" spans="1:15" x14ac:dyDescent="0.25">
      <c r="D13" t="s">
        <v>303</v>
      </c>
      <c r="E13">
        <v>450000</v>
      </c>
      <c r="H13" t="s">
        <v>262</v>
      </c>
      <c r="J13">
        <v>16000</v>
      </c>
    </row>
    <row r="14" spans="1:15" x14ac:dyDescent="0.25">
      <c r="D14" t="s">
        <v>303</v>
      </c>
      <c r="E14">
        <v>1000000</v>
      </c>
      <c r="H14" t="s">
        <v>273</v>
      </c>
      <c r="J14">
        <v>500000</v>
      </c>
    </row>
    <row r="15" spans="1:15" x14ac:dyDescent="0.25">
      <c r="D15" t="s">
        <v>303</v>
      </c>
      <c r="E15">
        <v>1000000</v>
      </c>
      <c r="H15" t="s">
        <v>274</v>
      </c>
      <c r="J15">
        <v>400000</v>
      </c>
    </row>
    <row r="16" spans="1:15" x14ac:dyDescent="0.25">
      <c r="D16" t="s">
        <v>319</v>
      </c>
      <c r="E16">
        <v>500000</v>
      </c>
      <c r="H16" t="s">
        <v>275</v>
      </c>
      <c r="J16">
        <v>460000</v>
      </c>
    </row>
    <row r="17" spans="1:15" x14ac:dyDescent="0.25">
      <c r="D17" t="s">
        <v>263</v>
      </c>
      <c r="E17">
        <v>850000</v>
      </c>
      <c r="H17" t="s">
        <v>276</v>
      </c>
      <c r="J17">
        <v>45000</v>
      </c>
    </row>
    <row r="18" spans="1:15" x14ac:dyDescent="0.25">
      <c r="D18" t="s">
        <v>263</v>
      </c>
      <c r="E18">
        <v>250000</v>
      </c>
    </row>
    <row r="19" spans="1:15" x14ac:dyDescent="0.25">
      <c r="D19" t="s">
        <v>263</v>
      </c>
      <c r="E19">
        <v>125000</v>
      </c>
    </row>
    <row r="23" spans="1:15" x14ac:dyDescent="0.25">
      <c r="H23" t="s">
        <v>277</v>
      </c>
      <c r="J23">
        <v>14000</v>
      </c>
      <c r="N23" t="s">
        <v>420</v>
      </c>
      <c r="O23">
        <f>SUM(O7:O19)</f>
        <v>6000</v>
      </c>
    </row>
    <row r="24" spans="1:15" x14ac:dyDescent="0.25">
      <c r="H24" t="s">
        <v>106</v>
      </c>
      <c r="J24">
        <v>600000</v>
      </c>
    </row>
    <row r="25" spans="1:15" x14ac:dyDescent="0.25">
      <c r="D25" t="s">
        <v>175</v>
      </c>
      <c r="E25">
        <f>SUM(E2:E22)</f>
        <v>9570000</v>
      </c>
      <c r="F25">
        <f>E25/655</f>
        <v>14610.687022900764</v>
      </c>
      <c r="H25" t="s">
        <v>106</v>
      </c>
      <c r="J25">
        <v>600000</v>
      </c>
    </row>
    <row r="26" spans="1:15" x14ac:dyDescent="0.25">
      <c r="H26" t="s">
        <v>287</v>
      </c>
      <c r="J26">
        <v>113000</v>
      </c>
    </row>
    <row r="27" spans="1:15" x14ac:dyDescent="0.25">
      <c r="H27" t="s">
        <v>321</v>
      </c>
      <c r="J27">
        <v>300000</v>
      </c>
    </row>
    <row r="28" spans="1:15" x14ac:dyDescent="0.25">
      <c r="H28" t="s">
        <v>320</v>
      </c>
      <c r="J28">
        <v>550500</v>
      </c>
    </row>
    <row r="31" spans="1:15" x14ac:dyDescent="0.25">
      <c r="A31" t="s">
        <v>260</v>
      </c>
      <c r="B31">
        <f>A2-E25</f>
        <v>-4870000</v>
      </c>
    </row>
    <row r="32" spans="1:15" x14ac:dyDescent="0.25">
      <c r="A32" t="s">
        <v>261</v>
      </c>
      <c r="B32">
        <f>A2-L2</f>
        <v>-198500</v>
      </c>
    </row>
    <row r="37" spans="1:12" x14ac:dyDescent="0.25">
      <c r="A37" t="s">
        <v>264</v>
      </c>
      <c r="E37" t="s">
        <v>288</v>
      </c>
    </row>
    <row r="38" spans="1:12" x14ac:dyDescent="0.25">
      <c r="A38" t="s">
        <v>265</v>
      </c>
      <c r="B38">
        <f>9*19</f>
        <v>171</v>
      </c>
      <c r="E38" t="s">
        <v>289</v>
      </c>
      <c r="F38">
        <v>304000</v>
      </c>
    </row>
    <row r="39" spans="1:12" x14ac:dyDescent="0.25">
      <c r="A39" t="s">
        <v>266</v>
      </c>
      <c r="B39">
        <f>19*6</f>
        <v>114</v>
      </c>
      <c r="E39" t="s">
        <v>290</v>
      </c>
      <c r="F39">
        <v>276000</v>
      </c>
    </row>
    <row r="40" spans="1:12" x14ac:dyDescent="0.25">
      <c r="A40" t="s">
        <v>267</v>
      </c>
      <c r="B40">
        <f>6*4</f>
        <v>24</v>
      </c>
      <c r="E40" t="s">
        <v>291</v>
      </c>
      <c r="F40">
        <v>268000</v>
      </c>
      <c r="H40" t="s">
        <v>289</v>
      </c>
      <c r="I40">
        <v>304000</v>
      </c>
      <c r="K40" t="s">
        <v>305</v>
      </c>
      <c r="L40">
        <f>3800*40</f>
        <v>152000</v>
      </c>
    </row>
    <row r="41" spans="1:12" x14ac:dyDescent="0.25">
      <c r="A41" t="s">
        <v>268</v>
      </c>
      <c r="B41">
        <f>18*5</f>
        <v>90</v>
      </c>
      <c r="E41" t="s">
        <v>292</v>
      </c>
      <c r="F41">
        <v>780000</v>
      </c>
      <c r="H41" t="s">
        <v>290</v>
      </c>
      <c r="I41">
        <v>276000</v>
      </c>
      <c r="K41" t="s">
        <v>306</v>
      </c>
      <c r="L41">
        <v>30000</v>
      </c>
    </row>
    <row r="42" spans="1:12" x14ac:dyDescent="0.25">
      <c r="A42" t="s">
        <v>269</v>
      </c>
      <c r="B42">
        <f>15*8</f>
        <v>120</v>
      </c>
      <c r="E42" t="s">
        <v>293</v>
      </c>
      <c r="F42">
        <f>76000*5</f>
        <v>380000</v>
      </c>
      <c r="H42" t="s">
        <v>296</v>
      </c>
      <c r="I42">
        <v>120000</v>
      </c>
      <c r="K42" t="s">
        <v>106</v>
      </c>
      <c r="L42">
        <v>500000</v>
      </c>
    </row>
    <row r="43" spans="1:12" x14ac:dyDescent="0.25">
      <c r="A43" t="s">
        <v>270</v>
      </c>
      <c r="B43">
        <f>19*4</f>
        <v>76</v>
      </c>
      <c r="E43" t="s">
        <v>294</v>
      </c>
      <c r="F43">
        <v>7000</v>
      </c>
      <c r="H43" t="s">
        <v>298</v>
      </c>
      <c r="I43">
        <f>30*3800</f>
        <v>114000</v>
      </c>
      <c r="K43" t="s">
        <v>307</v>
      </c>
      <c r="L43">
        <v>500000</v>
      </c>
    </row>
    <row r="44" spans="1:12" x14ac:dyDescent="0.25">
      <c r="A44" t="s">
        <v>271</v>
      </c>
      <c r="B44">
        <v>20</v>
      </c>
      <c r="E44" t="s">
        <v>295</v>
      </c>
      <c r="F44">
        <v>30000</v>
      </c>
      <c r="H44" t="s">
        <v>299</v>
      </c>
      <c r="I44">
        <f>40*3800</f>
        <v>152000</v>
      </c>
    </row>
    <row r="45" spans="1:12" x14ac:dyDescent="0.25">
      <c r="E45" t="s">
        <v>296</v>
      </c>
      <c r="F45">
        <v>120000</v>
      </c>
    </row>
    <row r="46" spans="1:12" x14ac:dyDescent="0.25">
      <c r="E46" t="s">
        <v>297</v>
      </c>
      <c r="F46">
        <v>1300000</v>
      </c>
    </row>
    <row r="47" spans="1:12" x14ac:dyDescent="0.25">
      <c r="H47" t="s">
        <v>300</v>
      </c>
      <c r="I47">
        <f>SUM(I40:I44)</f>
        <v>966000</v>
      </c>
    </row>
    <row r="50" spans="1:14" x14ac:dyDescent="0.25">
      <c r="A50" t="s">
        <v>6</v>
      </c>
      <c r="B50">
        <f>SUM(B38:B48)</f>
        <v>615</v>
      </c>
      <c r="E50" t="s">
        <v>6</v>
      </c>
      <c r="F50">
        <f>SUM(F38:F48)</f>
        <v>3465000</v>
      </c>
    </row>
    <row r="52" spans="1:14" x14ac:dyDescent="0.25">
      <c r="M52" t="s">
        <v>404</v>
      </c>
      <c r="N52">
        <f>2000*655</f>
        <v>1310000</v>
      </c>
    </row>
    <row r="53" spans="1:14" x14ac:dyDescent="0.25">
      <c r="A53" s="23"/>
      <c r="B53" s="23"/>
      <c r="C53" s="23"/>
      <c r="D53" s="23"/>
      <c r="E53" s="23"/>
      <c r="F53" s="23"/>
      <c r="G53" s="23"/>
      <c r="H53" s="23"/>
      <c r="L53" t="s">
        <v>405</v>
      </c>
      <c r="M53">
        <v>200000</v>
      </c>
    </row>
    <row r="54" spans="1:14" x14ac:dyDescent="0.25">
      <c r="A54" s="5"/>
      <c r="B54" s="5"/>
      <c r="C54" s="5" t="s">
        <v>396</v>
      </c>
      <c r="D54" s="5"/>
      <c r="E54" s="5"/>
      <c r="F54" s="5"/>
      <c r="G54" s="5"/>
      <c r="H54" s="5"/>
      <c r="L54" t="s">
        <v>406</v>
      </c>
      <c r="M54">
        <v>200000</v>
      </c>
    </row>
    <row r="55" spans="1:14" x14ac:dyDescent="0.25">
      <c r="B55" t="s">
        <v>401</v>
      </c>
      <c r="C55" t="s">
        <v>402</v>
      </c>
      <c r="M55">
        <v>400000</v>
      </c>
    </row>
    <row r="56" spans="1:14" x14ac:dyDescent="0.25">
      <c r="A56" t="s">
        <v>397</v>
      </c>
      <c r="B56">
        <v>300000</v>
      </c>
      <c r="C56">
        <v>404000</v>
      </c>
      <c r="M56">
        <v>200000</v>
      </c>
    </row>
    <row r="57" spans="1:14" x14ac:dyDescent="0.25">
      <c r="A57" t="s">
        <v>398</v>
      </c>
      <c r="B57">
        <v>400000</v>
      </c>
      <c r="C57">
        <v>370000</v>
      </c>
      <c r="M57">
        <v>310000</v>
      </c>
    </row>
    <row r="58" spans="1:14" x14ac:dyDescent="0.25">
      <c r="A58" t="s">
        <v>399</v>
      </c>
      <c r="B58">
        <v>2200000</v>
      </c>
      <c r="C58">
        <v>675000</v>
      </c>
      <c r="D58">
        <v>120000</v>
      </c>
      <c r="H58">
        <f>400000+350000+500000</f>
        <v>1250000</v>
      </c>
    </row>
    <row r="59" spans="1:14" x14ac:dyDescent="0.25">
      <c r="A59" t="s">
        <v>400</v>
      </c>
      <c r="B59">
        <v>450000</v>
      </c>
    </row>
    <row r="63" spans="1:14" x14ac:dyDescent="0.25">
      <c r="B63">
        <f>SUM(B56:L59)</f>
        <v>6169000</v>
      </c>
    </row>
    <row r="64" spans="1:14" x14ac:dyDescent="0.25">
      <c r="L64" t="s">
        <v>6</v>
      </c>
      <c r="M64">
        <f>SUM(M53:M62)</f>
        <v>1310000</v>
      </c>
    </row>
    <row r="66" spans="1:18" x14ac:dyDescent="0.25">
      <c r="B66" t="s">
        <v>411</v>
      </c>
      <c r="C66" t="s">
        <v>413</v>
      </c>
      <c r="D66" t="s">
        <v>415</v>
      </c>
    </row>
    <row r="67" spans="1:18" x14ac:dyDescent="0.25">
      <c r="A67" t="s">
        <v>407</v>
      </c>
      <c r="B67" s="5">
        <f>364000+9000+56500</f>
        <v>429500</v>
      </c>
      <c r="C67" s="5">
        <f>364000+9000+56500</f>
        <v>429500</v>
      </c>
    </row>
    <row r="68" spans="1:18" x14ac:dyDescent="0.25">
      <c r="A68" t="s">
        <v>408</v>
      </c>
      <c r="B68" s="5">
        <v>396250</v>
      </c>
      <c r="C68" s="5">
        <v>396250</v>
      </c>
    </row>
    <row r="69" spans="1:18" x14ac:dyDescent="0.25">
      <c r="A69" t="s">
        <v>409</v>
      </c>
      <c r="B69" s="5">
        <v>350000</v>
      </c>
      <c r="C69" s="5">
        <v>350000</v>
      </c>
    </row>
    <row r="70" spans="1:18" x14ac:dyDescent="0.25">
      <c r="A70" t="s">
        <v>410</v>
      </c>
      <c r="B70" s="5">
        <v>400000</v>
      </c>
      <c r="C70" s="5">
        <v>400000</v>
      </c>
    </row>
    <row r="71" spans="1:18" x14ac:dyDescent="0.25">
      <c r="A71" t="s">
        <v>412</v>
      </c>
      <c r="B71" s="5">
        <v>260000</v>
      </c>
      <c r="C71" s="5">
        <v>260000</v>
      </c>
      <c r="H71" t="s">
        <v>453</v>
      </c>
      <c r="K71" t="s">
        <v>445</v>
      </c>
      <c r="N71" t="s">
        <v>446</v>
      </c>
      <c r="Q71" t="s">
        <v>449</v>
      </c>
    </row>
    <row r="72" spans="1:18" x14ac:dyDescent="0.25">
      <c r="A72" t="s">
        <v>416</v>
      </c>
      <c r="B72" s="5">
        <v>200000</v>
      </c>
      <c r="C72" s="5">
        <v>200000</v>
      </c>
      <c r="H72" t="s">
        <v>270</v>
      </c>
      <c r="I72">
        <f>1.4*3.9</f>
        <v>5.46</v>
      </c>
      <c r="K72" t="s">
        <v>437</v>
      </c>
      <c r="L72">
        <f>3.4*3.9</f>
        <v>13.26</v>
      </c>
      <c r="N72" t="s">
        <v>447</v>
      </c>
      <c r="O72">
        <f>1.66*1.66</f>
        <v>2.7555999999999998</v>
      </c>
      <c r="Q72" t="s">
        <v>450</v>
      </c>
      <c r="R72">
        <f>(1.6*3)*4</f>
        <v>19.200000000000003</v>
      </c>
    </row>
    <row r="73" spans="1:18" x14ac:dyDescent="0.25">
      <c r="A73" t="s">
        <v>414</v>
      </c>
      <c r="B73">
        <f>450000+140000</f>
        <v>590000</v>
      </c>
      <c r="C73">
        <f>250000+60000</f>
        <v>310000</v>
      </c>
      <c r="K73" t="s">
        <v>438</v>
      </c>
      <c r="L73">
        <f>3.4*3.9</f>
        <v>13.26</v>
      </c>
      <c r="N73" t="s">
        <v>448</v>
      </c>
      <c r="O73">
        <f>1.66*1.8</f>
        <v>2.988</v>
      </c>
      <c r="Q73" t="s">
        <v>451</v>
      </c>
      <c r="R73">
        <f>(1.6*3)*2+(1.8*3)*2</f>
        <v>20.400000000000002</v>
      </c>
    </row>
    <row r="74" spans="1:18" x14ac:dyDescent="0.25">
      <c r="A74" t="s">
        <v>422</v>
      </c>
      <c r="B74">
        <v>2100000</v>
      </c>
      <c r="C74">
        <f>500000+200000+300000+200000+100000</f>
        <v>1300000</v>
      </c>
      <c r="K74" t="s">
        <v>439</v>
      </c>
      <c r="L74">
        <f>5.56*3.9</f>
        <v>21.683999999999997</v>
      </c>
      <c r="Q74" t="s">
        <v>452</v>
      </c>
      <c r="R74">
        <f>(1.4*3)+(3.9*3)*2</f>
        <v>27.599999999999998</v>
      </c>
    </row>
    <row r="75" spans="1:18" x14ac:dyDescent="0.25">
      <c r="A75" t="s">
        <v>423</v>
      </c>
      <c r="B75">
        <f>675000+120000</f>
        <v>795000</v>
      </c>
      <c r="C75">
        <f>73000+73000+73000+73000+73000+88000</f>
        <v>453000</v>
      </c>
      <c r="K75" t="s">
        <v>440</v>
      </c>
      <c r="L75">
        <f>1.4*16</f>
        <v>22.4</v>
      </c>
      <c r="Q75" t="s">
        <v>443</v>
      </c>
    </row>
    <row r="76" spans="1:18" x14ac:dyDescent="0.25">
      <c r="A76" t="s">
        <v>432</v>
      </c>
      <c r="B76">
        <v>675000</v>
      </c>
      <c r="C76">
        <f>300000+150000</f>
        <v>450000</v>
      </c>
      <c r="K76" t="s">
        <v>441</v>
      </c>
      <c r="L76">
        <f>3*5</f>
        <v>15</v>
      </c>
      <c r="Q76" t="s">
        <v>444</v>
      </c>
    </row>
    <row r="77" spans="1:18" x14ac:dyDescent="0.25">
      <c r="A77" t="s">
        <v>431</v>
      </c>
      <c r="C77">
        <f>300000+201000+150000</f>
        <v>651000</v>
      </c>
      <c r="K77" t="s">
        <v>442</v>
      </c>
      <c r="L77">
        <f>1*3.9</f>
        <v>3.9</v>
      </c>
    </row>
    <row r="78" spans="1:18" x14ac:dyDescent="0.25">
      <c r="A78" t="s">
        <v>434</v>
      </c>
      <c r="B78">
        <v>1000000</v>
      </c>
      <c r="K78" t="s">
        <v>443</v>
      </c>
      <c r="L78">
        <f>2*2</f>
        <v>4</v>
      </c>
    </row>
    <row r="79" spans="1:18" x14ac:dyDescent="0.25">
      <c r="A79" t="s">
        <v>435</v>
      </c>
      <c r="B79">
        <v>400000</v>
      </c>
      <c r="K79" t="s">
        <v>444</v>
      </c>
      <c r="L79">
        <f>3*2</f>
        <v>6</v>
      </c>
    </row>
    <row r="80" spans="1:18" x14ac:dyDescent="0.25">
      <c r="A80" t="s">
        <v>436</v>
      </c>
      <c r="C80">
        <f>155000</f>
        <v>155000</v>
      </c>
    </row>
    <row r="81" spans="1:18" x14ac:dyDescent="0.25">
      <c r="A81" t="s">
        <v>433</v>
      </c>
      <c r="C81">
        <f>200000</f>
        <v>200000</v>
      </c>
    </row>
    <row r="83" spans="1:18" x14ac:dyDescent="0.25">
      <c r="A83" t="s">
        <v>6</v>
      </c>
      <c r="B83">
        <f>SUM(B67:B81)</f>
        <v>7595750</v>
      </c>
      <c r="C83">
        <f>SUM(C67:C81)</f>
        <v>5554750</v>
      </c>
    </row>
    <row r="84" spans="1:18" x14ac:dyDescent="0.25">
      <c r="A84" t="s">
        <v>421</v>
      </c>
      <c r="B84">
        <f>B83/655</f>
        <v>11596.564885496184</v>
      </c>
      <c r="C84">
        <f>C83/655</f>
        <v>8480.5343511450374</v>
      </c>
    </row>
    <row r="85" spans="1:18" x14ac:dyDescent="0.25">
      <c r="H85" t="s">
        <v>454</v>
      </c>
      <c r="I85">
        <f>I72</f>
        <v>5.46</v>
      </c>
      <c r="K85" t="s">
        <v>6</v>
      </c>
      <c r="L85">
        <f>SUM(L72:L84)</f>
        <v>99.503999999999991</v>
      </c>
      <c r="N85" t="s">
        <v>6</v>
      </c>
      <c r="O85">
        <f t="shared" ref="O85" si="0">SUM(O72:O84)</f>
        <v>5.7435999999999998</v>
      </c>
      <c r="Q85" t="s">
        <v>175</v>
      </c>
      <c r="R85">
        <f t="shared" ref="R85" si="1">SUM(R72:R84)</f>
        <v>67.2</v>
      </c>
    </row>
    <row r="86" spans="1:18" x14ac:dyDescent="0.25">
      <c r="I86">
        <v>6</v>
      </c>
      <c r="L86">
        <v>100</v>
      </c>
      <c r="O86">
        <v>6</v>
      </c>
      <c r="R86">
        <v>67</v>
      </c>
    </row>
    <row r="87" spans="1:18" x14ac:dyDescent="0.25">
      <c r="A87" t="s">
        <v>417</v>
      </c>
      <c r="B87">
        <f>2000+4000+3000</f>
        <v>9000</v>
      </c>
    </row>
    <row r="89" spans="1:18" x14ac:dyDescent="0.25">
      <c r="A89" t="s">
        <v>99</v>
      </c>
      <c r="B89">
        <f>B87-C84</f>
        <v>519.46564885496264</v>
      </c>
      <c r="I89">
        <f>I86*3500</f>
        <v>21000</v>
      </c>
      <c r="L89">
        <f>L86*7000</f>
        <v>700000</v>
      </c>
      <c r="O89">
        <f>O86*3500</f>
        <v>21000</v>
      </c>
      <c r="R89">
        <f>R86*3500</f>
        <v>234500</v>
      </c>
    </row>
    <row r="93" spans="1:18" x14ac:dyDescent="0.25">
      <c r="K93" t="s">
        <v>175</v>
      </c>
      <c r="M93">
        <f>I89+L89+O89+R89</f>
        <v>976500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250C-39B2-4E80-98CE-CD0726DE900E}">
  <dimension ref="A3:G22"/>
  <sheetViews>
    <sheetView workbookViewId="0">
      <selection activeCell="D20" sqref="D20"/>
    </sheetView>
  </sheetViews>
  <sheetFormatPr baseColWidth="10" defaultRowHeight="15.75" x14ac:dyDescent="0.25"/>
  <cols>
    <col min="1" max="1" width="30.125" bestFit="1" customWidth="1"/>
    <col min="2" max="2" width="18.875" bestFit="1" customWidth="1"/>
  </cols>
  <sheetData>
    <row r="3" spans="1:7" x14ac:dyDescent="0.25">
      <c r="A3" s="5" t="s">
        <v>328</v>
      </c>
      <c r="B3" s="5"/>
      <c r="C3" s="5"/>
      <c r="D3" s="5"/>
      <c r="E3" s="5"/>
    </row>
    <row r="4" spans="1:7" x14ac:dyDescent="0.25">
      <c r="A4" s="5"/>
      <c r="B4" s="5"/>
      <c r="C4" s="5" t="s">
        <v>329</v>
      </c>
      <c r="D4" s="5"/>
      <c r="E4" s="5" t="s">
        <v>330</v>
      </c>
    </row>
    <row r="5" spans="1:7" x14ac:dyDescent="0.25">
      <c r="A5" s="5"/>
      <c r="B5" s="5" t="s">
        <v>324</v>
      </c>
      <c r="C5" s="5">
        <f>75000*6</f>
        <v>450000</v>
      </c>
      <c r="D5" s="5"/>
      <c r="E5" s="5">
        <v>450000</v>
      </c>
    </row>
    <row r="6" spans="1:7" x14ac:dyDescent="0.25">
      <c r="A6" s="5"/>
      <c r="B6" s="5" t="s">
        <v>325</v>
      </c>
      <c r="C6" s="5">
        <v>432000</v>
      </c>
      <c r="D6" s="5"/>
      <c r="E6" s="5">
        <v>450000</v>
      </c>
    </row>
    <row r="7" spans="1:7" x14ac:dyDescent="0.25">
      <c r="A7" s="5"/>
      <c r="B7" s="5" t="s">
        <v>337</v>
      </c>
      <c r="C7" s="5"/>
      <c r="D7" s="5"/>
      <c r="E7" s="5">
        <v>60000</v>
      </c>
    </row>
    <row r="8" spans="1:7" x14ac:dyDescent="0.25">
      <c r="A8" s="5"/>
      <c r="B8" s="5" t="s">
        <v>326</v>
      </c>
      <c r="C8" s="5">
        <v>60000</v>
      </c>
      <c r="D8" s="5"/>
      <c r="E8" s="5">
        <v>60000</v>
      </c>
    </row>
    <row r="9" spans="1:7" x14ac:dyDescent="0.25">
      <c r="A9" s="5"/>
      <c r="B9" s="5" t="s">
        <v>327</v>
      </c>
      <c r="C9" s="5">
        <v>180000</v>
      </c>
      <c r="D9" s="5"/>
      <c r="E9" s="5">
        <v>180000</v>
      </c>
    </row>
    <row r="10" spans="1:7" x14ac:dyDescent="0.25">
      <c r="A10" s="5"/>
      <c r="B10" s="5"/>
      <c r="C10" s="5"/>
      <c r="D10" s="5"/>
      <c r="E10" s="5"/>
    </row>
    <row r="11" spans="1:7" x14ac:dyDescent="0.25">
      <c r="A11" s="5"/>
      <c r="B11" s="5" t="s">
        <v>300</v>
      </c>
      <c r="C11" s="5">
        <f>SUM(C5:C9)</f>
        <v>1122000</v>
      </c>
      <c r="D11" s="5"/>
      <c r="E11" s="5">
        <f>SUM(E5:E10)</f>
        <v>1200000</v>
      </c>
      <c r="G11">
        <f>E11/655</f>
        <v>1832.0610687022902</v>
      </c>
    </row>
    <row r="14" spans="1:7" x14ac:dyDescent="0.25">
      <c r="A14" t="s">
        <v>331</v>
      </c>
      <c r="B14" t="s">
        <v>332</v>
      </c>
      <c r="C14">
        <v>2000000</v>
      </c>
      <c r="E14" s="5">
        <v>500000</v>
      </c>
    </row>
    <row r="15" spans="1:7" x14ac:dyDescent="0.25">
      <c r="B15" t="s">
        <v>336</v>
      </c>
      <c r="C15">
        <v>600000</v>
      </c>
      <c r="E15" s="5">
        <v>600000</v>
      </c>
    </row>
    <row r="16" spans="1:7" x14ac:dyDescent="0.25">
      <c r="B16" t="s">
        <v>333</v>
      </c>
      <c r="C16">
        <v>45000</v>
      </c>
      <c r="E16" s="5">
        <v>45000</v>
      </c>
    </row>
    <row r="17" spans="2:7" x14ac:dyDescent="0.25">
      <c r="B17" t="s">
        <v>334</v>
      </c>
      <c r="C17">
        <v>150000</v>
      </c>
      <c r="E17" s="5">
        <v>150000</v>
      </c>
    </row>
    <row r="18" spans="2:7" x14ac:dyDescent="0.25">
      <c r="B18" t="s">
        <v>338</v>
      </c>
      <c r="E18" s="5">
        <v>32000</v>
      </c>
    </row>
    <row r="19" spans="2:7" x14ac:dyDescent="0.25">
      <c r="B19" t="s">
        <v>354</v>
      </c>
      <c r="D19" t="s">
        <v>263</v>
      </c>
      <c r="E19" s="5">
        <v>1390000</v>
      </c>
    </row>
    <row r="20" spans="2:7" x14ac:dyDescent="0.25">
      <c r="B20" t="s">
        <v>335</v>
      </c>
      <c r="C20">
        <v>14000</v>
      </c>
      <c r="E20" s="5">
        <v>14000</v>
      </c>
    </row>
    <row r="21" spans="2:7" x14ac:dyDescent="0.25">
      <c r="B21" t="s">
        <v>332</v>
      </c>
      <c r="D21" t="s">
        <v>263</v>
      </c>
      <c r="E21" s="5">
        <v>500000</v>
      </c>
    </row>
    <row r="22" spans="2:7" x14ac:dyDescent="0.25">
      <c r="C22">
        <f>SUM(C14:C20)</f>
        <v>2809000</v>
      </c>
      <c r="D22">
        <f>SUM(D14:D20)</f>
        <v>0</v>
      </c>
      <c r="E22" s="5">
        <f>SUM(E14:E21)</f>
        <v>3231000</v>
      </c>
      <c r="G22">
        <f>E22/655</f>
        <v>4932.8244274809158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44F7-AFBE-4C6B-AF7F-6A7B39EB63FD}">
  <dimension ref="A2:P29"/>
  <sheetViews>
    <sheetView workbookViewId="0">
      <selection activeCell="B20" sqref="B20"/>
    </sheetView>
  </sheetViews>
  <sheetFormatPr baseColWidth="10" defaultRowHeight="15.75" x14ac:dyDescent="0.25"/>
  <cols>
    <col min="4" max="4" width="11.375" bestFit="1" customWidth="1"/>
    <col min="12" max="12" width="13.125" bestFit="1" customWidth="1"/>
    <col min="15" max="15" width="15.125" bestFit="1" customWidth="1"/>
  </cols>
  <sheetData>
    <row r="2" spans="1:16" x14ac:dyDescent="0.25">
      <c r="L2" t="s">
        <v>181</v>
      </c>
      <c r="O2" t="s">
        <v>189</v>
      </c>
    </row>
    <row r="4" spans="1:16" x14ac:dyDescent="0.25">
      <c r="A4" t="s">
        <v>162</v>
      </c>
      <c r="B4">
        <v>15000</v>
      </c>
      <c r="D4" t="s">
        <v>14</v>
      </c>
      <c r="E4">
        <v>5000</v>
      </c>
      <c r="H4" t="s">
        <v>6</v>
      </c>
      <c r="I4">
        <f>B4+E4</f>
        <v>20000</v>
      </c>
      <c r="L4" t="s">
        <v>182</v>
      </c>
      <c r="M4">
        <v>3102</v>
      </c>
      <c r="O4" t="s">
        <v>190</v>
      </c>
      <c r="P4">
        <v>50</v>
      </c>
    </row>
    <row r="5" spans="1:16" x14ac:dyDescent="0.25">
      <c r="L5" t="s">
        <v>182</v>
      </c>
      <c r="M5">
        <v>3057</v>
      </c>
      <c r="O5" t="s">
        <v>191</v>
      </c>
      <c r="P5">
        <v>200</v>
      </c>
    </row>
    <row r="6" spans="1:16" x14ac:dyDescent="0.25">
      <c r="A6" t="s">
        <v>184</v>
      </c>
      <c r="B6">
        <v>2300</v>
      </c>
      <c r="L6" t="s">
        <v>187</v>
      </c>
      <c r="M6">
        <v>1525</v>
      </c>
    </row>
    <row r="7" spans="1:16" x14ac:dyDescent="0.25">
      <c r="A7" t="s">
        <v>163</v>
      </c>
      <c r="B7">
        <v>4600</v>
      </c>
      <c r="D7" t="s">
        <v>165</v>
      </c>
      <c r="E7">
        <v>4500</v>
      </c>
      <c r="L7" t="s">
        <v>182</v>
      </c>
      <c r="M7">
        <v>3834</v>
      </c>
    </row>
    <row r="8" spans="1:16" x14ac:dyDescent="0.25">
      <c r="A8" t="s">
        <v>183</v>
      </c>
      <c r="B8">
        <v>2260</v>
      </c>
      <c r="L8" t="s">
        <v>188</v>
      </c>
      <c r="M8">
        <v>2310</v>
      </c>
    </row>
    <row r="9" spans="1:16" x14ac:dyDescent="0.25">
      <c r="A9" t="s">
        <v>164</v>
      </c>
      <c r="D9" t="s">
        <v>99</v>
      </c>
      <c r="E9">
        <f>E4-E7</f>
        <v>500</v>
      </c>
      <c r="M9">
        <v>50</v>
      </c>
    </row>
    <row r="10" spans="1:16" x14ac:dyDescent="0.25">
      <c r="L10" t="s">
        <v>192</v>
      </c>
      <c r="M10">
        <v>100</v>
      </c>
    </row>
    <row r="13" spans="1:16" x14ac:dyDescent="0.25">
      <c r="G13" t="s">
        <v>167</v>
      </c>
    </row>
    <row r="14" spans="1:16" x14ac:dyDescent="0.25">
      <c r="A14" t="s">
        <v>166</v>
      </c>
      <c r="C14">
        <f>B9+E9</f>
        <v>500</v>
      </c>
    </row>
    <row r="19" spans="1:13" x14ac:dyDescent="0.25">
      <c r="A19" t="s">
        <v>162</v>
      </c>
      <c r="B19">
        <v>10000</v>
      </c>
      <c r="D19" t="s">
        <v>14</v>
      </c>
      <c r="E19">
        <v>5000</v>
      </c>
      <c r="H19" t="s">
        <v>6</v>
      </c>
      <c r="I19">
        <f>B19+E19</f>
        <v>15000</v>
      </c>
      <c r="L19" t="s">
        <v>175</v>
      </c>
      <c r="M19">
        <f>SUM(M4:M14)</f>
        <v>13978</v>
      </c>
    </row>
    <row r="22" spans="1:13" x14ac:dyDescent="0.25">
      <c r="A22" t="s">
        <v>163</v>
      </c>
      <c r="B22">
        <v>7640</v>
      </c>
      <c r="D22" t="s">
        <v>165</v>
      </c>
      <c r="E22">
        <v>3820</v>
      </c>
    </row>
    <row r="24" spans="1:13" x14ac:dyDescent="0.25">
      <c r="A24" t="s">
        <v>164</v>
      </c>
      <c r="B24">
        <f>B19-B22</f>
        <v>2360</v>
      </c>
      <c r="D24" t="s">
        <v>99</v>
      </c>
      <c r="E24">
        <f>E19-E22</f>
        <v>1180</v>
      </c>
      <c r="L24" t="s">
        <v>99</v>
      </c>
      <c r="M24">
        <f>I4-M19</f>
        <v>6022</v>
      </c>
    </row>
    <row r="28" spans="1:13" x14ac:dyDescent="0.25">
      <c r="G28" t="s">
        <v>167</v>
      </c>
    </row>
    <row r="29" spans="1:13" x14ac:dyDescent="0.25">
      <c r="A29" t="s">
        <v>166</v>
      </c>
      <c r="C29">
        <f>B24+E24</f>
        <v>3540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0527-2C58-45D2-85E0-B2079F911CE6}">
  <dimension ref="A2:H13"/>
  <sheetViews>
    <sheetView workbookViewId="0">
      <selection activeCell="H10" sqref="H10"/>
    </sheetView>
  </sheetViews>
  <sheetFormatPr baseColWidth="10" defaultRowHeight="15.75" x14ac:dyDescent="0.25"/>
  <cols>
    <col min="1" max="1" width="12.625" bestFit="1" customWidth="1"/>
    <col min="2" max="2" width="18.5" customWidth="1"/>
    <col min="3" max="3" width="17.875" customWidth="1"/>
    <col min="7" max="7" width="13.625" bestFit="1" customWidth="1"/>
  </cols>
  <sheetData>
    <row r="2" spans="1:8" x14ac:dyDescent="0.25">
      <c r="A2" t="s">
        <v>154</v>
      </c>
    </row>
    <row r="3" spans="1:8" s="16" customFormat="1" x14ac:dyDescent="0.25">
      <c r="A3" s="16" t="s">
        <v>155</v>
      </c>
      <c r="B3" s="16" t="s">
        <v>156</v>
      </c>
      <c r="C3" s="16" t="s">
        <v>157</v>
      </c>
    </row>
    <row r="4" spans="1:8" x14ac:dyDescent="0.25">
      <c r="A4">
        <v>1.5</v>
      </c>
      <c r="B4">
        <v>2250</v>
      </c>
      <c r="C4">
        <v>300</v>
      </c>
    </row>
    <row r="5" spans="1:8" x14ac:dyDescent="0.25">
      <c r="A5">
        <v>1.8</v>
      </c>
      <c r="B5">
        <v>2500</v>
      </c>
      <c r="C5">
        <v>200</v>
      </c>
    </row>
    <row r="6" spans="1:8" x14ac:dyDescent="0.25">
      <c r="A6">
        <v>1.5</v>
      </c>
      <c r="B6">
        <v>2800</v>
      </c>
      <c r="C6">
        <v>200</v>
      </c>
    </row>
    <row r="10" spans="1:8" x14ac:dyDescent="0.25">
      <c r="A10" t="s">
        <v>159</v>
      </c>
      <c r="G10" t="s">
        <v>185</v>
      </c>
    </row>
    <row r="11" spans="1:8" x14ac:dyDescent="0.25">
      <c r="G11" t="s">
        <v>186</v>
      </c>
      <c r="H11">
        <v>160000</v>
      </c>
    </row>
    <row r="12" spans="1:8" x14ac:dyDescent="0.25">
      <c r="A12" t="s">
        <v>160</v>
      </c>
      <c r="B12">
        <v>12</v>
      </c>
      <c r="C12">
        <v>28000</v>
      </c>
      <c r="D12">
        <f>B12*C12</f>
        <v>336000</v>
      </c>
    </row>
    <row r="13" spans="1:8" x14ac:dyDescent="0.25">
      <c r="B13" t="s">
        <v>161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3A54-4F93-427E-93E6-1AE8B5C3C1AA}">
  <dimension ref="B3:H19"/>
  <sheetViews>
    <sheetView workbookViewId="0">
      <selection activeCell="F11" sqref="F11"/>
    </sheetView>
  </sheetViews>
  <sheetFormatPr baseColWidth="10" defaultRowHeight="15.75" x14ac:dyDescent="0.25"/>
  <cols>
    <col min="4" max="4" width="18.125" customWidth="1"/>
    <col min="6" max="6" width="20.625" bestFit="1" customWidth="1"/>
  </cols>
  <sheetData>
    <row r="3" spans="2:8" x14ac:dyDescent="0.25">
      <c r="F3" t="s">
        <v>176</v>
      </c>
    </row>
    <row r="4" spans="2:8" x14ac:dyDescent="0.25">
      <c r="B4" t="s">
        <v>168</v>
      </c>
      <c r="C4">
        <v>308</v>
      </c>
      <c r="D4" t="s">
        <v>173</v>
      </c>
      <c r="G4" t="s">
        <v>179</v>
      </c>
      <c r="H4">
        <v>1000</v>
      </c>
    </row>
    <row r="5" spans="2:8" x14ac:dyDescent="0.25">
      <c r="B5" t="s">
        <v>169</v>
      </c>
      <c r="C5">
        <v>120</v>
      </c>
      <c r="D5" t="s">
        <v>173</v>
      </c>
      <c r="G5" t="s">
        <v>177</v>
      </c>
      <c r="H5">
        <v>1000</v>
      </c>
    </row>
    <row r="6" spans="2:8" x14ac:dyDescent="0.25">
      <c r="B6" t="s">
        <v>170</v>
      </c>
      <c r="C6">
        <v>60</v>
      </c>
      <c r="D6" t="s">
        <v>173</v>
      </c>
      <c r="G6" t="s">
        <v>178</v>
      </c>
      <c r="H6">
        <v>400</v>
      </c>
    </row>
    <row r="7" spans="2:8" x14ac:dyDescent="0.25">
      <c r="B7" t="s">
        <v>171</v>
      </c>
      <c r="C7">
        <v>44</v>
      </c>
      <c r="G7" t="s">
        <v>180</v>
      </c>
      <c r="H7">
        <v>100</v>
      </c>
    </row>
    <row r="8" spans="2:8" x14ac:dyDescent="0.25">
      <c r="B8" t="s">
        <v>145</v>
      </c>
      <c r="C8">
        <v>48</v>
      </c>
    </row>
    <row r="9" spans="2:8" x14ac:dyDescent="0.25">
      <c r="B9" t="s">
        <v>172</v>
      </c>
      <c r="C9">
        <v>36</v>
      </c>
    </row>
    <row r="10" spans="2:8" x14ac:dyDescent="0.25">
      <c r="B10" t="s">
        <v>174</v>
      </c>
      <c r="C10">
        <v>78</v>
      </c>
    </row>
    <row r="11" spans="2:8" x14ac:dyDescent="0.25">
      <c r="B11" t="s">
        <v>158</v>
      </c>
    </row>
    <row r="19" spans="2:8" x14ac:dyDescent="0.25">
      <c r="B19" t="s">
        <v>175</v>
      </c>
      <c r="C19">
        <f>SUM(C7:C15)</f>
        <v>206</v>
      </c>
      <c r="H19">
        <f>SUM(H4:H15)</f>
        <v>2500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B880-2680-4A84-A754-F93B2E76569E}">
  <dimension ref="A1:I6"/>
  <sheetViews>
    <sheetView workbookViewId="0">
      <selection activeCell="H6" sqref="H6"/>
    </sheetView>
  </sheetViews>
  <sheetFormatPr baseColWidth="10" defaultRowHeight="15.75" x14ac:dyDescent="0.25"/>
  <cols>
    <col min="1" max="1" width="16.375" customWidth="1"/>
    <col min="2" max="2" width="16.625" customWidth="1"/>
    <col min="4" max="4" width="36.875" bestFit="1" customWidth="1"/>
  </cols>
  <sheetData>
    <row r="1" spans="1:9" x14ac:dyDescent="0.25">
      <c r="A1" s="3" t="s">
        <v>342</v>
      </c>
      <c r="B1" s="3" t="s">
        <v>343</v>
      </c>
      <c r="C1" s="3" t="s">
        <v>344</v>
      </c>
      <c r="D1" s="3" t="s">
        <v>349</v>
      </c>
    </row>
    <row r="2" spans="1:9" x14ac:dyDescent="0.25">
      <c r="A2" t="s">
        <v>339</v>
      </c>
      <c r="B2" s="21">
        <v>45408</v>
      </c>
      <c r="C2">
        <v>30</v>
      </c>
      <c r="D2" t="s">
        <v>347</v>
      </c>
      <c r="H2" t="s">
        <v>350</v>
      </c>
      <c r="I2" t="s">
        <v>352</v>
      </c>
    </row>
    <row r="3" spans="1:9" x14ac:dyDescent="0.25">
      <c r="A3" t="s">
        <v>345</v>
      </c>
      <c r="B3" s="21">
        <v>45411</v>
      </c>
      <c r="C3">
        <v>60</v>
      </c>
      <c r="D3" t="s">
        <v>346</v>
      </c>
      <c r="H3" t="s">
        <v>351</v>
      </c>
      <c r="I3" t="s">
        <v>353</v>
      </c>
    </row>
    <row r="4" spans="1:9" x14ac:dyDescent="0.25">
      <c r="A4" t="s">
        <v>340</v>
      </c>
      <c r="B4" s="21">
        <v>45412</v>
      </c>
      <c r="C4">
        <v>30</v>
      </c>
      <c r="D4" t="s">
        <v>347</v>
      </c>
    </row>
    <row r="5" spans="1:9" x14ac:dyDescent="0.25">
      <c r="A5" t="s">
        <v>341</v>
      </c>
      <c r="B5" s="21">
        <v>45414</v>
      </c>
      <c r="C5">
        <v>30</v>
      </c>
      <c r="D5" t="s">
        <v>347</v>
      </c>
    </row>
    <row r="6" spans="1:9" x14ac:dyDescent="0.25">
      <c r="A6" t="s">
        <v>339</v>
      </c>
      <c r="B6" s="21">
        <v>46145</v>
      </c>
      <c r="C6">
        <v>60</v>
      </c>
      <c r="D6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Fevrier</vt:lpstr>
      <vt:lpstr>Mars</vt:lpstr>
      <vt:lpstr>Avril</vt:lpstr>
      <vt:lpstr>Feuil4</vt:lpstr>
      <vt:lpstr>Mai</vt:lpstr>
      <vt:lpstr>Juin</vt:lpstr>
      <vt:lpstr>Juillet</vt:lpstr>
      <vt:lpstr>Aout</vt:lpstr>
      <vt:lpstr>Septembre</vt:lpstr>
      <vt:lpstr>Octobre</vt:lpstr>
      <vt:lpstr>Novembre</vt:lpstr>
      <vt:lpstr>Aout23</vt:lpstr>
      <vt:lpstr>Sept23</vt:lpstr>
      <vt:lpstr>Octb23</vt:lpstr>
      <vt:lpstr>Nov2023</vt:lpstr>
      <vt:lpstr>Dec2023</vt:lpstr>
      <vt:lpstr>JAN24</vt:lpstr>
      <vt:lpstr>FEV24</vt:lpstr>
      <vt:lpstr>MARS24</vt:lpstr>
      <vt:lpstr>AVRIL24</vt:lpstr>
      <vt:lpstr>AOUT24</vt:lpstr>
      <vt:lpstr>SEP24</vt:lpstr>
      <vt:lpstr>OCT24</vt:lpstr>
      <vt:lpstr>NOV24</vt:lpstr>
      <vt:lpstr>DEC24</vt:lpstr>
      <vt:lpstr>JANV25</vt:lpstr>
      <vt:lpstr>FEVR25</vt:lpstr>
      <vt:lpstr>Mars25</vt:lpstr>
      <vt:lpstr>Credit</vt:lpstr>
      <vt:lpstr>Entreprise</vt:lpstr>
      <vt:lpstr>Construction </vt:lpstr>
      <vt:lpstr>Construction2</vt:lpstr>
      <vt:lpstr>Terrain</vt:lpstr>
      <vt:lpstr>Poulailler</vt:lpstr>
      <vt:lpstr>divers </vt:lpstr>
      <vt:lpstr>MB MEACSYTEM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Abdoulaye GUEYE</cp:lastModifiedBy>
  <dcterms:created xsi:type="dcterms:W3CDTF">2021-01-21T15:51:03Z</dcterms:created>
  <dcterms:modified xsi:type="dcterms:W3CDTF">2025-03-07T15:58:51Z</dcterms:modified>
</cp:coreProperties>
</file>