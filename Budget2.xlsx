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36A3A898-C258-457A-9D01-4E5343B7CB51}" xr6:coauthVersionLast="47" xr6:coauthVersionMax="47" xr10:uidLastSave="{00000000-0000-0000-0000-000000000000}"/>
  <bookViews>
    <workbookView xWindow="-120" yWindow="-120" windowWidth="29040" windowHeight="15840" firstSheet="24" activeTab="30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Mai25" sheetId="49" r:id="rId30"/>
    <sheet name="Credit" sheetId="28" r:id="rId31"/>
    <sheet name="Entreprise" sheetId="35" r:id="rId32"/>
    <sheet name="Construction " sheetId="27" r:id="rId33"/>
    <sheet name="Construction2" sheetId="39" r:id="rId34"/>
    <sheet name="Terrain" sheetId="18" r:id="rId35"/>
    <sheet name="Poulailler" sheetId="20" r:id="rId36"/>
    <sheet name="divers " sheetId="22" r:id="rId37"/>
    <sheet name="MB MEACSYTEM" sheetId="40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2" i="27" l="1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4" i="27"/>
  <c r="O94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4" i="27"/>
  <c r="R74" i="27"/>
  <c r="R73" i="27"/>
  <c r="R72" i="27"/>
  <c r="R90" i="27" s="1"/>
  <c r="O73" i="27"/>
  <c r="O72" i="27"/>
  <c r="I74" i="27"/>
  <c r="L75" i="27"/>
  <c r="L74" i="27"/>
  <c r="L73" i="27"/>
  <c r="L72" i="27"/>
  <c r="C86" i="27"/>
  <c r="C67" i="27"/>
  <c r="B67" i="27"/>
  <c r="B73" i="27"/>
  <c r="C15" i="46"/>
  <c r="B75" i="27"/>
  <c r="C34" i="49" l="1"/>
  <c r="C88" i="27"/>
  <c r="C89" i="27" s="1"/>
  <c r="B94" i="27" s="1"/>
  <c r="L90" i="27"/>
  <c r="I90" i="27"/>
  <c r="O90" i="27"/>
  <c r="D26" i="48"/>
  <c r="C29" i="48" s="1"/>
  <c r="J34" i="48" s="1"/>
  <c r="M98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88" i="27"/>
  <c r="B89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<sst xmlns="http://schemas.openxmlformats.org/spreadsheetml/2006/main" count="1889" uniqueCount="467">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</sst>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553</v>
      </c>
      <c r="D34" s="11"/>
      <c r="E34" s="11"/>
      <c r="F34" s="11"/>
      <c r="G34" s="11"/>
      <c r="H34" s="11"/>
      <c r="I34" s="11"/>
      <c r="J34" s="11">
        <f>C29+L29</f>
        <v>7451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topLeftCell="A4"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6600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465</v>
      </c>
      <c r="C13" s="11">
        <v>200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2586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4647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4647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1953</v>
      </c>
      <c r="D34" s="11"/>
      <c r="E34" s="11"/>
      <c r="F34" s="11"/>
      <c r="G34" s="11"/>
      <c r="H34" s="11"/>
      <c r="I34" s="11"/>
      <c r="J34" s="11">
        <f>C29+L29</f>
        <v>5151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abSelected="1" workbookViewId="0">
      <selection activeCell="C33" sqref="C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  <c r="O9">
        <v>600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  <c r="M13">
        <v>500</v>
      </c>
    </row>
    <row r="14" spans="1:15" x14ac:dyDescent="0.25">
      <c r="J14">
        <f>SUM(J5:J12)</f>
        <v>5116</v>
      </c>
      <c r="L14" t="s">
        <v>243</v>
      </c>
    </row>
    <row r="15" spans="1:15" x14ac:dyDescent="0.25">
      <c r="L15" t="s">
        <v>220</v>
      </c>
    </row>
    <row r="16" spans="1:15" x14ac:dyDescent="0.25">
      <c r="I16" t="s">
        <v>99</v>
      </c>
      <c r="J16">
        <f>J14-M22</f>
        <v>1616</v>
      </c>
      <c r="L16" t="s">
        <v>466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17000</v>
      </c>
    </row>
    <row r="22" spans="1:15" x14ac:dyDescent="0.25">
      <c r="M22">
        <f>SUM(M7:M20)</f>
        <v>3500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>
        <v>1000</v>
      </c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3000</v>
      </c>
      <c r="D41" s="18">
        <f>SUM(D27:D39)</f>
        <v>0</v>
      </c>
      <c r="E41" s="18">
        <f>SUM(E27:E39)</f>
        <v>0</v>
      </c>
      <c r="F41" s="18">
        <f>SUM(B41:E41)</f>
        <v>4500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8"/>
  <sheetViews>
    <sheetView topLeftCell="A70" zoomScale="106" workbookViewId="0">
      <selection activeCell="B93" sqref="B93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s="5" t="s">
        <v>414</v>
      </c>
      <c r="B73" s="5">
        <f>450000+140000</f>
        <v>590000</v>
      </c>
      <c r="C73" s="5">
        <f>250000+60000+230000+50000</f>
        <v>590000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s="5" t="s">
        <v>434</v>
      </c>
      <c r="B78" s="5">
        <v>1500000</v>
      </c>
      <c r="C78" s="5">
        <f>500000+500000+300000+300000</f>
        <v>1600000</v>
      </c>
      <c r="E78">
        <f>45*6750</f>
        <v>303750</v>
      </c>
    </row>
    <row r="79" spans="1:18" x14ac:dyDescent="0.25">
      <c r="A79" s="5" t="s">
        <v>435</v>
      </c>
      <c r="B79" s="5">
        <v>450000</v>
      </c>
      <c r="C79" s="5">
        <f>250000+200000</f>
        <v>450000</v>
      </c>
      <c r="D79">
        <f>30000+50000+150000+30000</f>
        <v>260000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s="5" t="s">
        <v>457</v>
      </c>
      <c r="B81" s="5">
        <v>480000</v>
      </c>
      <c r="C81" s="5">
        <f>280000+100000+110000</f>
        <v>490000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50000+50000</f>
        <v>100000</v>
      </c>
    </row>
    <row r="84" spans="1:18" x14ac:dyDescent="0.25">
      <c r="A84" s="5" t="s">
        <v>464</v>
      </c>
      <c r="B84" s="5">
        <v>580000</v>
      </c>
    </row>
    <row r="85" spans="1:18" x14ac:dyDescent="0.25">
      <c r="A85" s="5" t="s">
        <v>463</v>
      </c>
      <c r="B85" s="5">
        <v>350000</v>
      </c>
      <c r="C85" s="5">
        <v>350000</v>
      </c>
    </row>
    <row r="86" spans="1:18" x14ac:dyDescent="0.25">
      <c r="A86" s="5" t="s">
        <v>433</v>
      </c>
      <c r="B86" s="5">
        <v>200000</v>
      </c>
      <c r="C86" s="5">
        <f>200000</f>
        <v>200000</v>
      </c>
    </row>
    <row r="88" spans="1:18" x14ac:dyDescent="0.25">
      <c r="A88" t="s">
        <v>6</v>
      </c>
      <c r="B88">
        <f>SUM(B67:B86)</f>
        <v>11052750</v>
      </c>
      <c r="C88">
        <f>SUM(C67:C86)+D79</f>
        <v>10301750</v>
      </c>
    </row>
    <row r="89" spans="1:18" x14ac:dyDescent="0.25">
      <c r="A89" t="s">
        <v>421</v>
      </c>
      <c r="B89">
        <f>B88/655</f>
        <v>16874.427480916031</v>
      </c>
      <c r="C89">
        <f>C88/655</f>
        <v>15727.862595419847</v>
      </c>
    </row>
    <row r="90" spans="1:18" x14ac:dyDescent="0.25">
      <c r="H90" t="s">
        <v>453</v>
      </c>
      <c r="I90">
        <f>SUM(I74:I80)</f>
        <v>45.894999999999996</v>
      </c>
      <c r="K90" t="s">
        <v>6</v>
      </c>
      <c r="L90">
        <f>SUM(L72:L89)</f>
        <v>84.603999999999985</v>
      </c>
      <c r="N90" t="s">
        <v>6</v>
      </c>
      <c r="O90">
        <f t="shared" ref="O90" si="0">SUM(O72:O89)</f>
        <v>11.743600000000001</v>
      </c>
      <c r="Q90" t="s">
        <v>175</v>
      </c>
      <c r="R90">
        <f t="shared" ref="R90" si="1">SUM(R72:R89)</f>
        <v>67.2</v>
      </c>
    </row>
    <row r="91" spans="1:18" x14ac:dyDescent="0.25">
      <c r="L91">
        <v>130</v>
      </c>
      <c r="O91">
        <v>6</v>
      </c>
      <c r="R91">
        <v>67</v>
      </c>
    </row>
    <row r="92" spans="1:18" x14ac:dyDescent="0.25">
      <c r="A92" t="s">
        <v>417</v>
      </c>
      <c r="B92">
        <f>2000+4000+3000+800+553+1950+4000</f>
        <v>16303</v>
      </c>
      <c r="C92" t="s">
        <v>234</v>
      </c>
      <c r="D92" t="s">
        <v>240</v>
      </c>
      <c r="E92" t="s">
        <v>460</v>
      </c>
      <c r="F92" t="s">
        <v>222</v>
      </c>
      <c r="G92" t="s">
        <v>459</v>
      </c>
      <c r="H92" t="s">
        <v>462</v>
      </c>
    </row>
    <row r="94" spans="1:18" x14ac:dyDescent="0.25">
      <c r="A94" t="s">
        <v>99</v>
      </c>
      <c r="B94">
        <f>B92-C89</f>
        <v>575.13740458015309</v>
      </c>
      <c r="L94">
        <f>L91*7000</f>
        <v>910000</v>
      </c>
      <c r="O94">
        <f>O91*5000</f>
        <v>30000</v>
      </c>
      <c r="R94">
        <f>R91*5500</f>
        <v>368500</v>
      </c>
    </row>
    <row r="98" spans="11:13" x14ac:dyDescent="0.25">
      <c r="K98" t="s">
        <v>175</v>
      </c>
      <c r="M98">
        <f>I94+L94+O94+R94</f>
        <v>1308500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2025-05-07T20:58:22Z</dcterms:modified>
</cp:coreProperties>
</file>