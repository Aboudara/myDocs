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FC2EE9FF-CE24-4CF7-9262-6EE40DA5D2AA}" xr6:coauthVersionLast="47" xr6:coauthVersionMax="47" xr10:uidLastSave="{00000000-0000-0000-0000-000000000000}"/>
  <bookViews>
    <workbookView xWindow="-120" yWindow="-120" windowWidth="29040" windowHeight="15840" firstSheet="24" activeTab="31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" i="27" l="1"/>
  <c r="C74" i="27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B90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L88" i="27" l="1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6" i="27"/>
  <c r="C87" i="27" s="1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<sst xmlns="http://schemas.openxmlformats.org/spreadsheetml/2006/main" count="1804" uniqueCount="459">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</sst>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opLeftCell="A16" workbookViewId="0">
      <selection activeCell="C31" sqref="C31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2616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18500</v>
      </c>
    </row>
    <row r="22" spans="1:15" x14ac:dyDescent="0.25">
      <c r="M22">
        <f>SUM(M7:M20)</f>
        <v>2500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abSelected="1" topLeftCell="A64" zoomScale="106" workbookViewId="0">
      <selection activeCell="C84" sqref="C84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500000+200000+300000+200000+100000+250000+150000</f>
        <v>1700000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/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</row>
    <row r="79" spans="1:18" x14ac:dyDescent="0.25">
      <c r="A79" t="s">
        <v>435</v>
      </c>
      <c r="B79">
        <v>400000</v>
      </c>
      <c r="H79" t="s">
        <v>456</v>
      </c>
      <c r="I79">
        <v>10</v>
      </c>
    </row>
    <row r="80" spans="1:18" x14ac:dyDescent="0.25">
      <c r="A80" t="s">
        <v>436</v>
      </c>
      <c r="C80">
        <f>155000</f>
        <v>155000</v>
      </c>
      <c r="H80" t="s">
        <v>454</v>
      </c>
      <c r="I80">
        <v>17</v>
      </c>
    </row>
    <row r="81" spans="1:18" x14ac:dyDescent="0.25">
      <c r="A81" t="s">
        <v>457</v>
      </c>
      <c r="B81">
        <v>480000</v>
      </c>
      <c r="C81">
        <v>280000</v>
      </c>
    </row>
    <row r="82" spans="1:18" x14ac:dyDescent="0.25">
      <c r="A82" t="s">
        <v>455</v>
      </c>
      <c r="C82">
        <f>292000</f>
        <v>292000</v>
      </c>
    </row>
    <row r="83" spans="1:18" x14ac:dyDescent="0.25">
      <c r="A83" t="s">
        <v>458</v>
      </c>
      <c r="B83">
        <v>200000</v>
      </c>
      <c r="C83">
        <f>50000</f>
        <v>50000</v>
      </c>
    </row>
    <row r="84" spans="1:18" x14ac:dyDescent="0.25">
      <c r="A84" t="s">
        <v>433</v>
      </c>
      <c r="C84">
        <f>200000</f>
        <v>200000</v>
      </c>
    </row>
    <row r="86" spans="1:18" x14ac:dyDescent="0.25">
      <c r="A86" t="s">
        <v>6</v>
      </c>
      <c r="B86">
        <f>SUM(B67:B84)</f>
        <v>8775750</v>
      </c>
      <c r="C86">
        <f>SUM(C67:C84)</f>
        <v>7031750</v>
      </c>
    </row>
    <row r="87" spans="1:18" x14ac:dyDescent="0.25">
      <c r="A87" t="s">
        <v>421</v>
      </c>
      <c r="B87">
        <f>B86/655</f>
        <v>13398.091603053435</v>
      </c>
      <c r="C87">
        <f>C86/655</f>
        <v>10735.496183206107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>
        <f>2000+4000+3000+800</f>
        <v>9800</v>
      </c>
    </row>
    <row r="92" spans="1:18" x14ac:dyDescent="0.25">
      <c r="A92" t="s">
        <v>99</v>
      </c>
      <c r="B92">
        <f>B90-C87</f>
        <v>-935.49618320610716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2025-03-26T09:37:44Z</dcterms:modified>
</cp:coreProperties>
</file>