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-projet\myDocs\"/>
    </mc:Choice>
  </mc:AlternateContent>
  <xr:revisionPtr revIDLastSave="0" documentId="13_ncr:1_{F28F8F0B-7EDF-41D9-89BE-80EB8A88BFF1}" xr6:coauthVersionLast="47" xr6:coauthVersionMax="47" xr10:uidLastSave="{00000000-0000-0000-0000-000000000000}"/>
  <bookViews>
    <workbookView xWindow="-98" yWindow="-98" windowWidth="23596" windowHeight="15076" firstSheet="13" activeTab="21" xr2:uid="{27B7E826-E620-B34C-81E1-46A3DBC74E62}"/>
  </bookViews>
  <sheets>
    <sheet name="Sept23" sheetId="29" r:id="rId1"/>
    <sheet name="Octb23" sheetId="30" r:id="rId2"/>
    <sheet name="Nov2023" sheetId="31" r:id="rId3"/>
    <sheet name="Dec2023" sheetId="32" r:id="rId4"/>
    <sheet name="JAN24" sheetId="33" r:id="rId5"/>
    <sheet name="FEV24" sheetId="34" r:id="rId6"/>
    <sheet name="MARS24" sheetId="36" r:id="rId7"/>
    <sheet name="AVRIL24" sheetId="37" r:id="rId8"/>
    <sheet name="AOUT24" sheetId="38" r:id="rId9"/>
    <sheet name="SEP24" sheetId="41" r:id="rId10"/>
    <sheet name="OCT24" sheetId="42" r:id="rId11"/>
    <sheet name="NOV24" sheetId="43" r:id="rId12"/>
    <sheet name="DEC24" sheetId="44" r:id="rId13"/>
    <sheet name="JANV25" sheetId="45" r:id="rId14"/>
    <sheet name="FEVR25" sheetId="46" r:id="rId15"/>
    <sheet name="Mars25" sheetId="47" r:id="rId16"/>
    <sheet name="Avril25" sheetId="48" r:id="rId17"/>
    <sheet name="Mai25" sheetId="49" r:id="rId18"/>
    <sheet name="JUIN125" sheetId="51" r:id="rId19"/>
    <sheet name="Juin25" sheetId="50" r:id="rId20"/>
    <sheet name="Juillet25" sheetId="52" r:id="rId21"/>
    <sheet name="AOUT25" sheetId="53" r:id="rId22"/>
    <sheet name="Credit" sheetId="28" r:id="rId23"/>
    <sheet name="Entreprise" sheetId="35" r:id="rId24"/>
    <sheet name="Construction " sheetId="27" r:id="rId25"/>
    <sheet name="Construction2" sheetId="39" r:id="rId26"/>
    <sheet name="Terrain" sheetId="18" r:id="rId27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25" i="53" l="1"/>
  <c r="E121" i="53"/>
  <c r="B106" i="53"/>
  <c r="D106" i="53" s="1"/>
  <c r="F54" i="53"/>
  <c r="M39" i="53"/>
  <c r="E36" i="53"/>
  <c r="Q22" i="53"/>
  <c r="N22" i="53"/>
  <c r="P26" i="53" s="1"/>
  <c r="L29" i="53" s="1"/>
  <c r="I22" i="53"/>
  <c r="F22" i="53"/>
  <c r="C22" i="53"/>
  <c r="T14" i="53"/>
  <c r="P125" i="52"/>
  <c r="E121" i="52"/>
  <c r="B106" i="52"/>
  <c r="D106" i="52" s="1"/>
  <c r="F54" i="52"/>
  <c r="M39" i="52"/>
  <c r="E36" i="52"/>
  <c r="Q22" i="52"/>
  <c r="N22" i="52"/>
  <c r="P26" i="52" s="1"/>
  <c r="L29" i="52" s="1"/>
  <c r="I22" i="52"/>
  <c r="F22" i="52"/>
  <c r="C22" i="52"/>
  <c r="D26" i="52" s="1"/>
  <c r="T14" i="52"/>
  <c r="E34" i="35"/>
  <c r="B97" i="27"/>
  <c r="D79" i="27"/>
  <c r="H4" i="51"/>
  <c r="P125" i="51"/>
  <c r="E121" i="51"/>
  <c r="B106" i="51"/>
  <c r="D106" i="51" s="1"/>
  <c r="F54" i="51"/>
  <c r="M39" i="51"/>
  <c r="E36" i="51"/>
  <c r="P26" i="51"/>
  <c r="L29" i="51" s="1"/>
  <c r="Q22" i="51"/>
  <c r="N22" i="51"/>
  <c r="I22" i="51"/>
  <c r="F22" i="51"/>
  <c r="C22" i="51"/>
  <c r="D26" i="51" s="1"/>
  <c r="T14" i="51"/>
  <c r="P125" i="50"/>
  <c r="E121" i="50"/>
  <c r="D106" i="50"/>
  <c r="B106" i="50"/>
  <c r="F54" i="50"/>
  <c r="M39" i="50"/>
  <c r="E36" i="50"/>
  <c r="Q22" i="50"/>
  <c r="P26" i="50" s="1"/>
  <c r="L29" i="50" s="1"/>
  <c r="N22" i="50"/>
  <c r="I22" i="50"/>
  <c r="F22" i="50"/>
  <c r="C22" i="50"/>
  <c r="D26" i="50" s="1"/>
  <c r="T14" i="50"/>
  <c r="P125" i="49"/>
  <c r="E121" i="49"/>
  <c r="D106" i="49"/>
  <c r="B106" i="49"/>
  <c r="F54" i="49"/>
  <c r="M39" i="49"/>
  <c r="E36" i="49"/>
  <c r="Q22" i="49"/>
  <c r="N22" i="49"/>
  <c r="P26" i="49" s="1"/>
  <c r="L29" i="49" s="1"/>
  <c r="I22" i="49"/>
  <c r="F22" i="49"/>
  <c r="C22" i="49"/>
  <c r="D26" i="49" s="1"/>
  <c r="C29" i="49" s="1"/>
  <c r="J34" i="49" s="1"/>
  <c r="T14" i="49"/>
  <c r="C81" i="27"/>
  <c r="C73" i="27"/>
  <c r="C79" i="27"/>
  <c r="C78" i="27"/>
  <c r="C83" i="27"/>
  <c r="E78" i="27"/>
  <c r="C74" i="27"/>
  <c r="C76" i="27"/>
  <c r="H4" i="48"/>
  <c r="P125" i="48"/>
  <c r="E121" i="48"/>
  <c r="D106" i="48"/>
  <c r="B106" i="48"/>
  <c r="F54" i="48"/>
  <c r="M39" i="48"/>
  <c r="E36" i="48"/>
  <c r="L29" i="48"/>
  <c r="P26" i="48"/>
  <c r="Q22" i="48"/>
  <c r="N22" i="48"/>
  <c r="I22" i="48"/>
  <c r="F22" i="48"/>
  <c r="C22" i="48"/>
  <c r="T14" i="48"/>
  <c r="I75" i="27"/>
  <c r="C82" i="27"/>
  <c r="H4" i="47"/>
  <c r="R99" i="27"/>
  <c r="O99" i="27"/>
  <c r="C75" i="27"/>
  <c r="C77" i="27"/>
  <c r="C80" i="27"/>
  <c r="P125" i="47"/>
  <c r="E121" i="47"/>
  <c r="B106" i="47"/>
  <c r="D106" i="47" s="1"/>
  <c r="F54" i="47"/>
  <c r="M39" i="47"/>
  <c r="E36" i="47"/>
  <c r="Q22" i="47"/>
  <c r="N22" i="47"/>
  <c r="P26" i="47" s="1"/>
  <c r="L29" i="47" s="1"/>
  <c r="I22" i="47"/>
  <c r="F22" i="47"/>
  <c r="C22" i="47"/>
  <c r="D26" i="47" s="1"/>
  <c r="T14" i="47"/>
  <c r="L99" i="27"/>
  <c r="R74" i="27"/>
  <c r="R73" i="27"/>
  <c r="R72" i="27"/>
  <c r="O73" i="27"/>
  <c r="O72" i="27"/>
  <c r="I74" i="27"/>
  <c r="L75" i="27"/>
  <c r="L74" i="27"/>
  <c r="L73" i="27"/>
  <c r="L72" i="27"/>
  <c r="C91" i="27"/>
  <c r="C67" i="27"/>
  <c r="B67" i="27"/>
  <c r="B73" i="27"/>
  <c r="C15" i="46"/>
  <c r="B75" i="27"/>
  <c r="D26" i="53" l="1"/>
  <c r="C29" i="53" s="1"/>
  <c r="J34" i="53" s="1"/>
  <c r="C34" i="53"/>
  <c r="C34" i="52"/>
  <c r="C29" i="52"/>
  <c r="J34" i="52" s="1"/>
  <c r="R95" i="27"/>
  <c r="C34" i="51"/>
  <c r="C29" i="51"/>
  <c r="J34" i="51" s="1"/>
  <c r="C29" i="50"/>
  <c r="J34" i="50" s="1"/>
  <c r="C34" i="50"/>
  <c r="C34" i="49"/>
  <c r="C93" i="27"/>
  <c r="C94" i="27" s="1"/>
  <c r="B99" i="27" s="1"/>
  <c r="L95" i="27"/>
  <c r="I95" i="27"/>
  <c r="O95" i="27"/>
  <c r="D26" i="48"/>
  <c r="C29" i="48" s="1"/>
  <c r="J34" i="48" s="1"/>
  <c r="M103" i="27"/>
  <c r="C29" i="47"/>
  <c r="J34" i="47" s="1"/>
  <c r="C34" i="47"/>
  <c r="P125" i="46"/>
  <c r="E121" i="46"/>
  <c r="B106" i="46"/>
  <c r="D106" i="46" s="1"/>
  <c r="F54" i="46"/>
  <c r="M39" i="46"/>
  <c r="E36" i="46"/>
  <c r="Q22" i="46"/>
  <c r="P26" i="46" s="1"/>
  <c r="L29" i="46" s="1"/>
  <c r="N22" i="46"/>
  <c r="I22" i="46"/>
  <c r="F22" i="46"/>
  <c r="T14" i="46"/>
  <c r="C22" i="46"/>
  <c r="D26" i="46" s="1"/>
  <c r="O23" i="27"/>
  <c r="B93" i="27"/>
  <c r="B94" i="27" s="1"/>
  <c r="M64" i="27"/>
  <c r="N52" i="27"/>
  <c r="C9" i="45"/>
  <c r="F13" i="44"/>
  <c r="F21" i="44" s="1"/>
  <c r="H58" i="27"/>
  <c r="B63" i="27" s="1"/>
  <c r="C10" i="45"/>
  <c r="P124" i="45"/>
  <c r="E120" i="45"/>
  <c r="B105" i="45"/>
  <c r="D105" i="45" s="1"/>
  <c r="F53" i="45"/>
  <c r="M38" i="45"/>
  <c r="E35" i="45"/>
  <c r="Q21" i="45"/>
  <c r="N21" i="45"/>
  <c r="P25" i="45" s="1"/>
  <c r="L28" i="45" s="1"/>
  <c r="I21" i="45"/>
  <c r="F21" i="45"/>
  <c r="T14" i="45"/>
  <c r="C36" i="35"/>
  <c r="G34" i="35"/>
  <c r="G33" i="35"/>
  <c r="E33" i="35"/>
  <c r="D33" i="35"/>
  <c r="C13" i="44"/>
  <c r="C21" i="44" s="1"/>
  <c r="P124" i="44"/>
  <c r="E120" i="44"/>
  <c r="D105" i="44"/>
  <c r="B105" i="44"/>
  <c r="F53" i="44"/>
  <c r="M38" i="44"/>
  <c r="E35" i="44"/>
  <c r="P25" i="44"/>
  <c r="L28" i="44" s="1"/>
  <c r="Q21" i="44"/>
  <c r="N21" i="44"/>
  <c r="I21" i="44"/>
  <c r="T14" i="44"/>
  <c r="M22" i="28"/>
  <c r="J16" i="28" s="1"/>
  <c r="E28" i="35"/>
  <c r="F28" i="35" s="1"/>
  <c r="P124" i="43"/>
  <c r="E120" i="43"/>
  <c r="B105" i="43"/>
  <c r="D105" i="43" s="1"/>
  <c r="F53" i="43"/>
  <c r="M38" i="43"/>
  <c r="E35" i="43"/>
  <c r="Q21" i="43"/>
  <c r="N21" i="43"/>
  <c r="P25" i="43" s="1"/>
  <c r="L28" i="43" s="1"/>
  <c r="I21" i="43"/>
  <c r="F21" i="43"/>
  <c r="C21" i="43"/>
  <c r="T14" i="43"/>
  <c r="C30" i="35"/>
  <c r="G28" i="35"/>
  <c r="G27" i="35"/>
  <c r="E27" i="35"/>
  <c r="D27" i="35"/>
  <c r="P124" i="42"/>
  <c r="E120" i="42"/>
  <c r="B105" i="42"/>
  <c r="D105" i="42" s="1"/>
  <c r="F53" i="42"/>
  <c r="M38" i="42"/>
  <c r="E35" i="42"/>
  <c r="Q21" i="42"/>
  <c r="N21" i="42"/>
  <c r="P25" i="42" s="1"/>
  <c r="L28" i="42" s="1"/>
  <c r="I21" i="42"/>
  <c r="C21" i="42"/>
  <c r="F21" i="42"/>
  <c r="T14" i="42"/>
  <c r="E22" i="35"/>
  <c r="D22" i="35"/>
  <c r="M38" i="41"/>
  <c r="F17" i="41" s="1"/>
  <c r="F21" i="41" s="1"/>
  <c r="C24" i="35"/>
  <c r="F22" i="35"/>
  <c r="E21" i="35"/>
  <c r="E24" i="35" s="1"/>
  <c r="D21" i="35"/>
  <c r="G21" i="35" s="1"/>
  <c r="F53" i="41"/>
  <c r="E35" i="41"/>
  <c r="P124" i="41"/>
  <c r="E120" i="41"/>
  <c r="B105" i="41"/>
  <c r="D105" i="41" s="1"/>
  <c r="Q21" i="41"/>
  <c r="N21" i="41"/>
  <c r="P25" i="41" s="1"/>
  <c r="L28" i="41" s="1"/>
  <c r="I21" i="41"/>
  <c r="T14" i="41"/>
  <c r="C21" i="41"/>
  <c r="C16" i="35"/>
  <c r="C18" i="35" s="1"/>
  <c r="C9" i="38"/>
  <c r="C21" i="38" s="1"/>
  <c r="E22" i="39"/>
  <c r="G22" i="39" s="1"/>
  <c r="C22" i="39"/>
  <c r="D22" i="39"/>
  <c r="E11" i="39"/>
  <c r="G11" i="39" s="1"/>
  <c r="C5" i="39"/>
  <c r="C11" i="39" s="1"/>
  <c r="E25" i="27"/>
  <c r="F25" i="27" s="1"/>
  <c r="D15" i="35"/>
  <c r="G15" i="35" s="1"/>
  <c r="D9" i="35"/>
  <c r="G9" i="35" s="1"/>
  <c r="E15" i="35"/>
  <c r="F21" i="38"/>
  <c r="P124" i="38"/>
  <c r="E120" i="38"/>
  <c r="B105" i="38"/>
  <c r="D105" i="38" s="1"/>
  <c r="Q21" i="38"/>
  <c r="N21" i="38"/>
  <c r="P25" i="38" s="1"/>
  <c r="L28" i="38" s="1"/>
  <c r="I21" i="38"/>
  <c r="T14" i="38"/>
  <c r="P124" i="37"/>
  <c r="E120" i="37"/>
  <c r="B105" i="37"/>
  <c r="D105" i="37" s="1"/>
  <c r="Q21" i="37"/>
  <c r="P25" i="37" s="1"/>
  <c r="L28" i="37" s="1"/>
  <c r="N21" i="37"/>
  <c r="I21" i="37"/>
  <c r="F21" i="37"/>
  <c r="C21" i="37"/>
  <c r="D25" i="37" s="1"/>
  <c r="C28" i="37" s="1"/>
  <c r="T14" i="37"/>
  <c r="C10" i="35"/>
  <c r="C12" i="35" s="1"/>
  <c r="E9" i="35"/>
  <c r="F42" i="27"/>
  <c r="F50" i="27" s="1"/>
  <c r="L40" i="27"/>
  <c r="I44" i="27"/>
  <c r="I43" i="27"/>
  <c r="E2" i="35"/>
  <c r="F2" i="35" s="1"/>
  <c r="F21" i="36"/>
  <c r="P124" i="36"/>
  <c r="E120" i="36"/>
  <c r="B105" i="36"/>
  <c r="D105" i="36" s="1"/>
  <c r="Q21" i="36"/>
  <c r="N21" i="36"/>
  <c r="I21" i="36"/>
  <c r="C21" i="36"/>
  <c r="T14" i="36"/>
  <c r="E3" i="35"/>
  <c r="F3" i="35" s="1"/>
  <c r="C5" i="35"/>
  <c r="D3" i="35"/>
  <c r="D2" i="35"/>
  <c r="G2" i="35" s="1"/>
  <c r="L2" i="27"/>
  <c r="B32" i="27" s="1"/>
  <c r="F21" i="34"/>
  <c r="J14" i="28"/>
  <c r="B43" i="27"/>
  <c r="B41" i="27"/>
  <c r="B42" i="27"/>
  <c r="B40" i="27"/>
  <c r="B39" i="27"/>
  <c r="B38" i="27"/>
  <c r="P124" i="34"/>
  <c r="E120" i="34"/>
  <c r="D105" i="34"/>
  <c r="B105" i="34"/>
  <c r="Q21" i="34"/>
  <c r="N21" i="34"/>
  <c r="P25" i="34" s="1"/>
  <c r="L28" i="34" s="1"/>
  <c r="I21" i="34"/>
  <c r="C21" i="34"/>
  <c r="T14" i="34"/>
  <c r="G4" i="34"/>
  <c r="F20" i="33"/>
  <c r="P123" i="33"/>
  <c r="E119" i="33"/>
  <c r="B104" i="33"/>
  <c r="D104" i="33" s="1"/>
  <c r="P24" i="33"/>
  <c r="L27" i="33" s="1"/>
  <c r="Q20" i="33"/>
  <c r="N20" i="33"/>
  <c r="I20" i="33"/>
  <c r="C20" i="33"/>
  <c r="T14" i="33"/>
  <c r="G4" i="33"/>
  <c r="C41" i="28"/>
  <c r="D41" i="28"/>
  <c r="E41" i="28"/>
  <c r="B41" i="28"/>
  <c r="P123" i="32"/>
  <c r="E119" i="32"/>
  <c r="B104" i="32"/>
  <c r="D104" i="32" s="1"/>
  <c r="Q20" i="32"/>
  <c r="N20" i="32"/>
  <c r="I20" i="32"/>
  <c r="F20" i="32"/>
  <c r="C20" i="32"/>
  <c r="D24" i="32" s="1"/>
  <c r="T14" i="32"/>
  <c r="G4" i="32"/>
  <c r="P123" i="31"/>
  <c r="E119" i="31"/>
  <c r="B104" i="31"/>
  <c r="D104" i="31" s="1"/>
  <c r="Q20" i="31"/>
  <c r="N20" i="31"/>
  <c r="P24" i="31" s="1"/>
  <c r="L27" i="31" s="1"/>
  <c r="I20" i="31"/>
  <c r="F20" i="31"/>
  <c r="C20" i="31"/>
  <c r="T14" i="31"/>
  <c r="G4" i="31"/>
  <c r="H19" i="28"/>
  <c r="P123" i="30"/>
  <c r="E119" i="30"/>
  <c r="B104" i="30"/>
  <c r="D104" i="30" s="1"/>
  <c r="P24" i="30"/>
  <c r="L27" i="30" s="1"/>
  <c r="Q20" i="30"/>
  <c r="N20" i="30"/>
  <c r="I20" i="30"/>
  <c r="F20" i="30"/>
  <c r="C20" i="30"/>
  <c r="T14" i="30"/>
  <c r="G4" i="30"/>
  <c r="G4" i="29"/>
  <c r="P123" i="29"/>
  <c r="E119" i="29"/>
  <c r="B104" i="29"/>
  <c r="D104" i="29" s="1"/>
  <c r="Q20" i="29"/>
  <c r="N20" i="29"/>
  <c r="P24" i="29" s="1"/>
  <c r="L27" i="29" s="1"/>
  <c r="I20" i="29"/>
  <c r="F20" i="29"/>
  <c r="C20" i="29"/>
  <c r="T14" i="29"/>
  <c r="B6" i="28"/>
  <c r="I47" i="27" l="1"/>
  <c r="C34" i="48"/>
  <c r="D36" i="35"/>
  <c r="C29" i="46"/>
  <c r="J34" i="46" s="1"/>
  <c r="C34" i="46"/>
  <c r="C21" i="45"/>
  <c r="D25" i="45" s="1"/>
  <c r="C33" i="45" s="1"/>
  <c r="G36" i="35"/>
  <c r="F33" i="35"/>
  <c r="D25" i="44"/>
  <c r="C28" i="44" s="1"/>
  <c r="J33" i="44" s="1"/>
  <c r="D25" i="43"/>
  <c r="C28" i="43" s="1"/>
  <c r="J33" i="43" s="1"/>
  <c r="P24" i="32"/>
  <c r="L27" i="32" s="1"/>
  <c r="D24" i="33"/>
  <c r="C27" i="33" s="1"/>
  <c r="J32" i="33" s="1"/>
  <c r="D30" i="35"/>
  <c r="E30" i="35"/>
  <c r="P25" i="36"/>
  <c r="L28" i="36" s="1"/>
  <c r="D5" i="35"/>
  <c r="G30" i="35"/>
  <c r="F27" i="35"/>
  <c r="F30" i="35" s="1"/>
  <c r="D25" i="42"/>
  <c r="D24" i="35"/>
  <c r="G22" i="35"/>
  <c r="G24" i="35" s="1"/>
  <c r="F21" i="35"/>
  <c r="F24" i="35" s="1"/>
  <c r="I24" i="35" s="1"/>
  <c r="D25" i="41"/>
  <c r="C28" i="41" s="1"/>
  <c r="J33" i="41" s="1"/>
  <c r="B50" i="27"/>
  <c r="D16" i="35"/>
  <c r="E16" i="35"/>
  <c r="E18" i="35" s="1"/>
  <c r="F15" i="35"/>
  <c r="D25" i="38"/>
  <c r="C28" i="38" s="1"/>
  <c r="J33" i="38" s="1"/>
  <c r="B31" i="27"/>
  <c r="J33" i="37"/>
  <c r="D10" i="35"/>
  <c r="G10" i="35" s="1"/>
  <c r="G12" i="35" s="1"/>
  <c r="E10" i="35"/>
  <c r="F10" i="35" s="1"/>
  <c r="F9" i="35"/>
  <c r="G3" i="35"/>
  <c r="G5" i="35" s="1"/>
  <c r="D25" i="36"/>
  <c r="C28" i="36" s="1"/>
  <c r="F5" i="35"/>
  <c r="E5" i="35"/>
  <c r="D25" i="34"/>
  <c r="C28" i="34" s="1"/>
  <c r="J33" i="34" s="1"/>
  <c r="F41" i="28"/>
  <c r="B20" i="28" s="1"/>
  <c r="C27" i="32"/>
  <c r="J32" i="32" s="1"/>
  <c r="D24" i="31"/>
  <c r="C27" i="31" s="1"/>
  <c r="J32" i="31" s="1"/>
  <c r="D24" i="30"/>
  <c r="C27" i="30" s="1"/>
  <c r="J32" i="30" s="1"/>
  <c r="D24" i="29"/>
  <c r="C27" i="29" s="1"/>
  <c r="J32" i="29" s="1"/>
  <c r="C28" i="45" l="1"/>
  <c r="J33" i="45" s="1"/>
  <c r="C33" i="44"/>
  <c r="C33" i="43"/>
  <c r="I5" i="35"/>
  <c r="J33" i="36"/>
  <c r="C28" i="42"/>
  <c r="J33" i="42" s="1"/>
  <c r="C33" i="42"/>
  <c r="F16" i="35"/>
  <c r="F18" i="35"/>
  <c r="I18" i="35" s="1"/>
  <c r="G16" i="35"/>
  <c r="G18" i="35" s="1"/>
  <c r="D18" i="35"/>
  <c r="E12" i="35"/>
  <c r="I12" i="35" s="1"/>
  <c r="F12" i="35"/>
  <c r="D12" i="35"/>
  <c r="M19" i="18"/>
  <c r="E24" i="18"/>
  <c r="B24" i="18"/>
  <c r="I19" i="18"/>
  <c r="I4" i="18"/>
  <c r="E9" i="18"/>
  <c r="M24" i="18" l="1"/>
  <c r="C29" i="18"/>
  <c r="C14" i="18"/>
  <c r="F34" i="35"/>
  <c r="F36" i="35" s="1"/>
  <c r="E36" i="35"/>
</calcChain>
</file>

<file path=xl/sharedStrings.xml><?xml version="1.0" encoding="utf-8"?>
<sst xmlns="http://schemas.openxmlformats.org/spreadsheetml/2006/main" count="1620" uniqueCount="313">
  <si>
    <t>Loyer</t>
  </si>
  <si>
    <t>Electricité</t>
  </si>
  <si>
    <t>PEL</t>
  </si>
  <si>
    <t>Prêt</t>
  </si>
  <si>
    <t>Total</t>
  </si>
  <si>
    <t>Revenue</t>
  </si>
  <si>
    <t>Restant</t>
  </si>
  <si>
    <t>Yaba</t>
  </si>
  <si>
    <t>TOITAL</t>
  </si>
  <si>
    <t xml:space="preserve">mere </t>
  </si>
  <si>
    <t>parkink</t>
  </si>
  <si>
    <t>Ecole codou</t>
  </si>
  <si>
    <t>Manty</t>
  </si>
  <si>
    <t>Esprit libvre 12</t>
  </si>
  <si>
    <t xml:space="preserve">Assurance Habitation </t>
  </si>
  <si>
    <t>Carburant</t>
  </si>
  <si>
    <t xml:space="preserve">Avenir </t>
  </si>
  <si>
    <t>Depense Fixe</t>
  </si>
  <si>
    <t>Depense Variable</t>
  </si>
  <si>
    <t>Abdoulaye</t>
  </si>
  <si>
    <t>Fatoumata</t>
  </si>
  <si>
    <t>Reste</t>
  </si>
  <si>
    <t>amazon</t>
  </si>
  <si>
    <t>fer</t>
  </si>
  <si>
    <t xml:space="preserve">voiture </t>
  </si>
  <si>
    <t>Restant total</t>
  </si>
  <si>
    <t>MK</t>
  </si>
  <si>
    <t>course</t>
  </si>
  <si>
    <t>carburant</t>
  </si>
  <si>
    <t>Mk</t>
  </si>
  <si>
    <t>Terrain MK</t>
  </si>
  <si>
    <t>reste</t>
  </si>
  <si>
    <t>Terrain yaba</t>
  </si>
  <si>
    <t>Reste total</t>
  </si>
  <si>
    <t>,</t>
  </si>
  <si>
    <t>total</t>
  </si>
  <si>
    <t>Depense</t>
  </si>
  <si>
    <t>western mere</t>
  </si>
  <si>
    <t>pour nous</t>
  </si>
  <si>
    <t>pout</t>
  </si>
  <si>
    <t>ria moussa</t>
  </si>
  <si>
    <t>western ngane</t>
  </si>
  <si>
    <t>Depense extra</t>
  </si>
  <si>
    <t>course lait</t>
  </si>
  <si>
    <t>courser ramadan</t>
  </si>
  <si>
    <t>ramadan</t>
  </si>
  <si>
    <t>avenir</t>
  </si>
  <si>
    <t>tontine senegal</t>
  </si>
  <si>
    <t>Ecole bashir</t>
  </si>
  <si>
    <t xml:space="preserve">bashir </t>
  </si>
  <si>
    <t>codou</t>
  </si>
  <si>
    <t>pel</t>
  </si>
  <si>
    <t>assurance auto</t>
  </si>
  <si>
    <t>netflix</t>
  </si>
  <si>
    <t>apple</t>
  </si>
  <si>
    <t>credit</t>
  </si>
  <si>
    <t>extrat</t>
  </si>
  <si>
    <t>Fatim</t>
  </si>
  <si>
    <t>Rifaye</t>
  </si>
  <si>
    <t>pole emploi</t>
  </si>
  <si>
    <t>IK</t>
  </si>
  <si>
    <t>hotel</t>
  </si>
  <si>
    <t>hottel</t>
  </si>
  <si>
    <t xml:space="preserve"> </t>
  </si>
  <si>
    <t>YG Consulting</t>
  </si>
  <si>
    <t>septembre</t>
  </si>
  <si>
    <t xml:space="preserve">aout </t>
  </si>
  <si>
    <t>juillet</t>
  </si>
  <si>
    <t>mai</t>
  </si>
  <si>
    <t>mars</t>
  </si>
  <si>
    <t>s</t>
  </si>
  <si>
    <t>octobre</t>
  </si>
  <si>
    <t>tontine</t>
  </si>
  <si>
    <t>Encaissé</t>
  </si>
  <si>
    <t>Deouvert</t>
  </si>
  <si>
    <t>Frere abdoul</t>
  </si>
  <si>
    <t xml:space="preserve">Forage </t>
  </si>
  <si>
    <t>papier kayar</t>
  </si>
  <si>
    <t>pneu</t>
  </si>
  <si>
    <t>rifaye</t>
  </si>
  <si>
    <t>novembre</t>
  </si>
  <si>
    <t>decembre</t>
  </si>
  <si>
    <t>fatim</t>
  </si>
  <si>
    <t>yaba</t>
  </si>
  <si>
    <t>idi</t>
  </si>
  <si>
    <t>opel</t>
  </si>
  <si>
    <t>kia</t>
  </si>
  <si>
    <t>janvier</t>
  </si>
  <si>
    <t>fevrier</t>
  </si>
  <si>
    <t>avril</t>
  </si>
  <si>
    <t>juin</t>
  </si>
  <si>
    <t>Devis Oumar</t>
  </si>
  <si>
    <t>Déjà recu</t>
  </si>
  <si>
    <t xml:space="preserve">Wave </t>
  </si>
  <si>
    <t xml:space="preserve">Depense </t>
  </si>
  <si>
    <t>5tone10sac</t>
  </si>
  <si>
    <t>Beton 6/8</t>
  </si>
  <si>
    <t>Avance Moleur</t>
  </si>
  <si>
    <t>Avance charrette</t>
  </si>
  <si>
    <t>Barigo avance</t>
  </si>
  <si>
    <t>Moleur reste</t>
  </si>
  <si>
    <t>Charrette este</t>
  </si>
  <si>
    <t>2 barigo</t>
  </si>
  <si>
    <t xml:space="preserve">Location chambre </t>
  </si>
  <si>
    <t>2 rouloeau tyau</t>
  </si>
  <si>
    <t xml:space="preserve">Total depense </t>
  </si>
  <si>
    <t>Avance Oumar</t>
  </si>
  <si>
    <t>Reste Theorique</t>
  </si>
  <si>
    <t>Reste reel</t>
  </si>
  <si>
    <t>Tuyau</t>
  </si>
  <si>
    <t>Ngane</t>
  </si>
  <si>
    <t>Brique Coulage</t>
  </si>
  <si>
    <t xml:space="preserve">Salon </t>
  </si>
  <si>
    <t xml:space="preserve">CHAMBRE 1 </t>
  </si>
  <si>
    <t>SDB1</t>
  </si>
  <si>
    <t>CHAMBRE 2</t>
  </si>
  <si>
    <t>GARAGE</t>
  </si>
  <si>
    <t xml:space="preserve">cuisine </t>
  </si>
  <si>
    <t>sdb2</t>
  </si>
  <si>
    <t>tontinefrance</t>
  </si>
  <si>
    <t>avance omar</t>
  </si>
  <si>
    <t xml:space="preserve">avance omar </t>
  </si>
  <si>
    <t>beton 5/15</t>
  </si>
  <si>
    <t>rouleau fil</t>
  </si>
  <si>
    <t>pointes</t>
  </si>
  <si>
    <t>wave</t>
  </si>
  <si>
    <t>versement usaff</t>
  </si>
  <si>
    <t>monatnt net amoi</t>
  </si>
  <si>
    <t>Montant HT</t>
  </si>
  <si>
    <t>Montant recu</t>
  </si>
  <si>
    <t>TVA pout l'etat</t>
  </si>
  <si>
    <t>NOVO</t>
  </si>
  <si>
    <t>ML industrie</t>
  </si>
  <si>
    <t>niang</t>
  </si>
  <si>
    <t>cim+briq+charet</t>
  </si>
  <si>
    <t>devis coulage</t>
  </si>
  <si>
    <t xml:space="preserve">4 tonne cimment </t>
  </si>
  <si>
    <t>beton 6/8 12m3</t>
  </si>
  <si>
    <t>beton 5/1516m3</t>
  </si>
  <si>
    <t>fer a beton 1T300</t>
  </si>
  <si>
    <t xml:space="preserve">5 tonne cimment </t>
  </si>
  <si>
    <t>point</t>
  </si>
  <si>
    <t xml:space="preserve">fil de fer </t>
  </si>
  <si>
    <t>main brique</t>
  </si>
  <si>
    <t>main macon</t>
  </si>
  <si>
    <t>1 tonne 10 sac</t>
  </si>
  <si>
    <t>2 tonne</t>
  </si>
  <si>
    <t xml:space="preserve">Total </t>
  </si>
  <si>
    <t>omar</t>
  </si>
  <si>
    <t xml:space="preserve">omar </t>
  </si>
  <si>
    <t>Niang</t>
  </si>
  <si>
    <t xml:space="preserve">virement </t>
  </si>
  <si>
    <t>2 tonne cimment</t>
  </si>
  <si>
    <t>fils de fer</t>
  </si>
  <si>
    <t xml:space="preserve">Main d'oeuvre </t>
  </si>
  <si>
    <t>fifi</t>
  </si>
  <si>
    <t>Fevrier</t>
  </si>
  <si>
    <t>Mars</t>
  </si>
  <si>
    <t>Total Fevrier</t>
  </si>
  <si>
    <t>Total Mars</t>
  </si>
  <si>
    <t>cotisation effectuée</t>
  </si>
  <si>
    <t>cotisation non effectuée</t>
  </si>
  <si>
    <t>MARS</t>
  </si>
  <si>
    <t>mere thiam</t>
  </si>
  <si>
    <t xml:space="preserve">Tanti bb </t>
  </si>
  <si>
    <t>fifi senegal</t>
  </si>
  <si>
    <t xml:space="preserve">Niang </t>
  </si>
  <si>
    <t>coulage reste et escalier</t>
  </si>
  <si>
    <t>cavance main</t>
  </si>
  <si>
    <t>virement</t>
  </si>
  <si>
    <t xml:space="preserve">tontine </t>
  </si>
  <si>
    <t>6T Ciment</t>
  </si>
  <si>
    <t>24M3 betob 6/8</t>
  </si>
  <si>
    <t>Charrette</t>
  </si>
  <si>
    <t xml:space="preserve">Main Doeuvre </t>
  </si>
  <si>
    <t>Materiel brique elevation 1er etage</t>
  </si>
  <si>
    <t xml:space="preserve">Devis </t>
  </si>
  <si>
    <t>Déjà donné</t>
  </si>
  <si>
    <t xml:space="preserve">Elevation </t>
  </si>
  <si>
    <t>Avance Main d'œuvre</t>
  </si>
  <si>
    <t>fil de fer</t>
  </si>
  <si>
    <t xml:space="preserve">2 tonne ciment </t>
  </si>
  <si>
    <t>Pointe</t>
  </si>
  <si>
    <t>1 tonne Fer</t>
  </si>
  <si>
    <t>EAU</t>
  </si>
  <si>
    <t>reparation pompe</t>
  </si>
  <si>
    <t xml:space="preserve">Finition elevation </t>
  </si>
  <si>
    <t>Peage</t>
  </si>
  <si>
    <t>tontne</t>
  </si>
  <si>
    <t>Hotel S1</t>
  </si>
  <si>
    <t>Hotel S2</t>
  </si>
  <si>
    <t>Hotel S3</t>
  </si>
  <si>
    <t>HotelS4</t>
  </si>
  <si>
    <t>AOUT</t>
  </si>
  <si>
    <t>Total AOUT</t>
  </si>
  <si>
    <t xml:space="preserve">PV </t>
  </si>
  <si>
    <t>Reparation opel : 500</t>
  </si>
  <si>
    <t>Main d'œuvre oumar : 800</t>
  </si>
  <si>
    <t>Extrat pour moi : 200</t>
  </si>
  <si>
    <t>Mballou : 2000</t>
  </si>
  <si>
    <t>Disney 100</t>
  </si>
  <si>
    <t>Primark 67</t>
  </si>
  <si>
    <t>Mame 50</t>
  </si>
  <si>
    <t>Fete de loge 70</t>
  </si>
  <si>
    <t>Awa racky 300</t>
  </si>
  <si>
    <t>Amazon et course</t>
  </si>
  <si>
    <t>retrait</t>
  </si>
  <si>
    <t>retarit nounou</t>
  </si>
  <si>
    <t>kiabi</t>
  </si>
  <si>
    <t>RETRAIT</t>
  </si>
  <si>
    <t>BURGER</t>
  </si>
  <si>
    <t>IPTV</t>
  </si>
  <si>
    <t>AMAZON</t>
  </si>
  <si>
    <t>HOUSE CANAPE</t>
  </si>
  <si>
    <t>TOTAL</t>
  </si>
  <si>
    <t>TEMU</t>
  </si>
  <si>
    <t>temu</t>
  </si>
  <si>
    <t>Kebab</t>
  </si>
  <si>
    <t>depnase</t>
  </si>
  <si>
    <t>Koné</t>
  </si>
  <si>
    <t>tontine France</t>
  </si>
  <si>
    <t>hotl</t>
  </si>
  <si>
    <t>Ecole</t>
  </si>
  <si>
    <t>FIFI</t>
  </si>
  <si>
    <t>Rep voiture</t>
  </si>
  <si>
    <t>Nov</t>
  </si>
  <si>
    <t>elha</t>
  </si>
  <si>
    <t>voyage</t>
  </si>
  <si>
    <t>Finition maison Kayar</t>
  </si>
  <si>
    <t>Fosse</t>
  </si>
  <si>
    <t>Plombreie</t>
  </si>
  <si>
    <t>Lissage</t>
  </si>
  <si>
    <t xml:space="preserve">Porte </t>
  </si>
  <si>
    <t>Main d'ouvre</t>
  </si>
  <si>
    <t>Materiel</t>
  </si>
  <si>
    <t>vovo</t>
  </si>
  <si>
    <t>Avoir Niang</t>
  </si>
  <si>
    <t>Avance plombier</t>
  </si>
  <si>
    <t>Avant fosse</t>
  </si>
  <si>
    <t>Matos Plomberie</t>
  </si>
  <si>
    <t>Matos Fosse</t>
  </si>
  <si>
    <t>Main d œuvre fosse</t>
  </si>
  <si>
    <t>Main doevre Plom</t>
  </si>
  <si>
    <t>Devis</t>
  </si>
  <si>
    <t>Matos bique</t>
  </si>
  <si>
    <t>Déjà reglé</t>
  </si>
  <si>
    <t>Porte</t>
  </si>
  <si>
    <t>imprevu</t>
  </si>
  <si>
    <t>Planche lissage</t>
  </si>
  <si>
    <t>Budget</t>
  </si>
  <si>
    <t>dec</t>
  </si>
  <si>
    <t>jan</t>
  </si>
  <si>
    <t>Toyal</t>
  </si>
  <si>
    <t>en euro</t>
  </si>
  <si>
    <t>lissage Main d œuvre</t>
  </si>
  <si>
    <t>Matos lissage</t>
  </si>
  <si>
    <t>malet retrait</t>
  </si>
  <si>
    <t>towed</t>
  </si>
  <si>
    <t>voiture</t>
  </si>
  <si>
    <t>avirl</t>
  </si>
  <si>
    <t>CANAPé</t>
  </si>
  <si>
    <t>resto</t>
  </si>
  <si>
    <t>turk</t>
  </si>
  <si>
    <t>electricité</t>
  </si>
  <si>
    <t>metalique</t>
  </si>
  <si>
    <t>divers</t>
  </si>
  <si>
    <t>Carreau Matos</t>
  </si>
  <si>
    <t>Main d'œuvre carreau</t>
  </si>
  <si>
    <t>forage</t>
  </si>
  <si>
    <t>Chambre 1</t>
  </si>
  <si>
    <t>Chambre 2</t>
  </si>
  <si>
    <t>Salon</t>
  </si>
  <si>
    <t>Couloir</t>
  </si>
  <si>
    <t>Garage</t>
  </si>
  <si>
    <t>devant salon</t>
  </si>
  <si>
    <t>patio 1</t>
  </si>
  <si>
    <t>patio 2</t>
  </si>
  <si>
    <t>Carreau Sol</t>
  </si>
  <si>
    <t>Carreau Toilet Sol</t>
  </si>
  <si>
    <t>Toilette 1</t>
  </si>
  <si>
    <t>Tolette 2</t>
  </si>
  <si>
    <t xml:space="preserve">Carrau Facade </t>
  </si>
  <si>
    <t>toilette 1</t>
  </si>
  <si>
    <t>toilette 2</t>
  </si>
  <si>
    <t xml:space="preserve">Cuisisne </t>
  </si>
  <si>
    <t xml:space="preserve">total </t>
  </si>
  <si>
    <t>escalier</t>
  </si>
  <si>
    <t>Terrassement</t>
  </si>
  <si>
    <t>sous escalier</t>
  </si>
  <si>
    <t>Escalier</t>
  </si>
  <si>
    <t>Temu</t>
  </si>
  <si>
    <t>Avril</t>
  </si>
  <si>
    <t>fervier</t>
  </si>
  <si>
    <t>chambre, elhad, SDE</t>
  </si>
  <si>
    <t>Mai</t>
  </si>
  <si>
    <t>peintrure</t>
  </si>
  <si>
    <t>ALUminium</t>
  </si>
  <si>
    <t>retrait maroc</t>
  </si>
  <si>
    <t>aout</t>
  </si>
  <si>
    <t>maroc</t>
  </si>
  <si>
    <t>sanitaire</t>
  </si>
  <si>
    <t>jardin</t>
  </si>
  <si>
    <t>Samba</t>
  </si>
  <si>
    <t>Moton mere</t>
  </si>
  <si>
    <t>tons Gora</t>
  </si>
  <si>
    <t>lissage exter</t>
  </si>
  <si>
    <t>Juillet</t>
  </si>
  <si>
    <t>auot</t>
  </si>
  <si>
    <t>boua</t>
  </si>
  <si>
    <t>manty</t>
  </si>
  <si>
    <t>frigo</t>
  </si>
  <si>
    <t>vacin</t>
  </si>
  <si>
    <t>Potre 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</si>
</sst>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242424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0" xfId="0" applyFont="1"/>
    <xf numFmtId="0" fontId="1" fillId="3" borderId="0" xfId="0" applyFont="1" applyFill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1" fillId="5" borderId="0" xfId="0" applyFont="1" applyFill="1"/>
    <xf numFmtId="0" fontId="2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3" fillId="0" borderId="0" xfId="0" applyFont="1"/>
    <xf numFmtId="0" fontId="0" fillId="2" borderId="1" xfId="0" applyFill="1" applyBorder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BEFCC-E2C1-4A63-A878-2F0184845ABE}">
  <sheetPr codeName="Feuil1"/>
  <dimension ref="A1:T123"/>
  <sheetViews>
    <sheetView zoomScale="84" workbookViewId="0">
      <selection activeCell="C8" sqref="C8"/>
    </sheetView>
  </sheetViews>
  <sheetFormatPr baseColWidth="10" defaultRowHeight="15.75" x14ac:dyDescent="0.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0" x14ac:dyDescent="0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x14ac:dyDescent="0.5">
      <c r="A3" s="3"/>
      <c r="B3" s="2"/>
      <c r="C3" s="4"/>
      <c r="D3" s="4"/>
      <c r="E3" s="4"/>
      <c r="F3" s="4"/>
      <c r="G3" s="4"/>
      <c r="H3" s="4" t="s">
        <v>59</v>
      </c>
      <c r="I3" s="4" t="s">
        <v>60</v>
      </c>
      <c r="J3" s="5"/>
      <c r="K3" s="4"/>
      <c r="L3" s="4"/>
      <c r="M3" s="4"/>
      <c r="N3" s="4"/>
      <c r="O3" s="4"/>
      <c r="P3" s="4"/>
      <c r="Q3" s="4"/>
      <c r="R3" s="4"/>
      <c r="S3" s="5"/>
    </row>
    <row r="4" spans="1:20" x14ac:dyDescent="0.5">
      <c r="A4" s="3"/>
      <c r="B4" s="2"/>
      <c r="C4" s="4"/>
      <c r="D4" s="4"/>
      <c r="E4" s="6" t="s">
        <v>19</v>
      </c>
      <c r="F4" s="7" t="s">
        <v>5</v>
      </c>
      <c r="G4" s="4">
        <f>H4+I4</f>
        <v>3100</v>
      </c>
      <c r="H4" s="4">
        <v>1900</v>
      </c>
      <c r="I4" s="4">
        <v>1200</v>
      </c>
      <c r="J4" s="5"/>
      <c r="K4" s="4"/>
      <c r="L4" s="4"/>
      <c r="M4" s="6" t="s">
        <v>20</v>
      </c>
      <c r="N4" s="7" t="s">
        <v>5</v>
      </c>
      <c r="O4" s="4">
        <v>1480</v>
      </c>
      <c r="P4" s="4"/>
      <c r="Q4" s="4"/>
      <c r="R4" s="4"/>
      <c r="S4" s="5"/>
    </row>
    <row r="5" spans="1:20" x14ac:dyDescent="0.5">
      <c r="A5" s="3"/>
      <c r="B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5"/>
    </row>
    <row r="6" spans="1:20" x14ac:dyDescent="0.5">
      <c r="A6" s="3"/>
      <c r="B6" s="2"/>
      <c r="C6" s="7" t="s">
        <v>16</v>
      </c>
      <c r="D6" s="8"/>
      <c r="E6" s="7" t="s">
        <v>17</v>
      </c>
      <c r="F6" s="8"/>
      <c r="G6" s="7"/>
      <c r="H6" s="7" t="s">
        <v>18</v>
      </c>
      <c r="I6" s="7"/>
      <c r="J6" s="5"/>
      <c r="K6" s="7" t="s">
        <v>16</v>
      </c>
      <c r="L6" s="8"/>
      <c r="M6" s="7" t="s">
        <v>17</v>
      </c>
      <c r="N6" s="8"/>
      <c r="O6" s="7"/>
      <c r="P6" s="7" t="s">
        <v>18</v>
      </c>
      <c r="Q6" s="7"/>
      <c r="R6" s="4"/>
      <c r="S6" s="5"/>
    </row>
    <row r="7" spans="1:20" x14ac:dyDescent="0.5">
      <c r="A7" s="3"/>
      <c r="B7" s="2" t="s">
        <v>46</v>
      </c>
      <c r="C7" s="4">
        <v>2400</v>
      </c>
      <c r="D7" s="4"/>
      <c r="E7" s="2" t="s">
        <v>0</v>
      </c>
      <c r="F7" s="4">
        <v>882</v>
      </c>
      <c r="G7" s="4"/>
      <c r="H7" s="2"/>
      <c r="I7" s="4"/>
      <c r="J7" s="5"/>
      <c r="K7" s="4"/>
      <c r="L7" s="4"/>
      <c r="M7" s="2" t="s">
        <v>26</v>
      </c>
      <c r="N7" s="4">
        <v>150</v>
      </c>
      <c r="O7" s="4"/>
      <c r="P7" s="2"/>
      <c r="Q7" s="4"/>
      <c r="R7" s="4"/>
      <c r="S7" s="5"/>
    </row>
    <row r="8" spans="1:20" x14ac:dyDescent="0.5">
      <c r="A8" s="3"/>
      <c r="B8" s="2" t="s">
        <v>55</v>
      </c>
      <c r="C8" s="4" t="s">
        <v>63</v>
      </c>
      <c r="D8" s="4"/>
      <c r="E8" s="2" t="s">
        <v>10</v>
      </c>
      <c r="F8" s="4">
        <v>72</v>
      </c>
      <c r="G8" s="4"/>
      <c r="H8" s="2"/>
      <c r="I8" s="4"/>
      <c r="J8" s="5"/>
      <c r="K8" s="4"/>
      <c r="L8" s="4"/>
      <c r="M8" s="2" t="s">
        <v>49</v>
      </c>
      <c r="N8" s="4">
        <v>200</v>
      </c>
      <c r="O8" s="4"/>
      <c r="P8" s="2"/>
      <c r="Q8" s="4"/>
      <c r="R8" s="4"/>
      <c r="S8" s="5"/>
      <c r="T8">
        <v>50</v>
      </c>
    </row>
    <row r="9" spans="1:20" x14ac:dyDescent="0.5">
      <c r="A9" s="3"/>
      <c r="B9" s="2" t="s">
        <v>28</v>
      </c>
      <c r="C9" s="4">
        <v>400</v>
      </c>
      <c r="D9" s="4"/>
      <c r="E9" s="2" t="s">
        <v>47</v>
      </c>
      <c r="F9" s="4">
        <v>300</v>
      </c>
      <c r="G9" s="4"/>
      <c r="H9" s="2"/>
      <c r="I9" s="4"/>
      <c r="J9" s="5"/>
      <c r="K9" s="4"/>
      <c r="L9" s="4"/>
      <c r="M9" s="2" t="s">
        <v>50</v>
      </c>
      <c r="N9" s="4">
        <v>200</v>
      </c>
      <c r="O9" s="4"/>
      <c r="P9" s="2"/>
      <c r="Q9" s="4"/>
      <c r="R9" s="4"/>
      <c r="S9" s="5"/>
      <c r="T9">
        <v>200</v>
      </c>
    </row>
    <row r="10" spans="1:20" x14ac:dyDescent="0.5">
      <c r="A10" s="3"/>
      <c r="B10" s="2" t="s">
        <v>62</v>
      </c>
      <c r="C10" s="4"/>
      <c r="D10" s="4"/>
      <c r="E10" s="2" t="s">
        <v>3</v>
      </c>
      <c r="F10" s="4">
        <v>283</v>
      </c>
      <c r="G10" s="4"/>
      <c r="H10" s="2"/>
      <c r="I10" s="4"/>
      <c r="J10" s="5"/>
      <c r="K10" s="4"/>
      <c r="L10" s="4"/>
      <c r="M10" s="2" t="s">
        <v>51</v>
      </c>
      <c r="N10" s="4">
        <v>300</v>
      </c>
      <c r="O10" s="4"/>
      <c r="P10" s="2"/>
      <c r="Q10" s="4"/>
      <c r="R10" s="4"/>
      <c r="S10" s="5"/>
      <c r="T10">
        <v>150</v>
      </c>
    </row>
    <row r="11" spans="1:20" x14ac:dyDescent="0.5">
      <c r="A11" s="3"/>
      <c r="B11" s="2"/>
      <c r="C11" s="4"/>
      <c r="D11" s="4"/>
      <c r="E11" s="2" t="s">
        <v>1</v>
      </c>
      <c r="F11" s="4">
        <v>50</v>
      </c>
      <c r="G11" s="4"/>
      <c r="J11" s="5"/>
      <c r="K11" s="4"/>
      <c r="L11" s="4"/>
      <c r="M11" s="2" t="s">
        <v>52</v>
      </c>
      <c r="N11" s="4">
        <v>100</v>
      </c>
      <c r="O11" s="4"/>
      <c r="P11" s="2"/>
      <c r="Q11" s="4"/>
      <c r="R11" s="4"/>
      <c r="S11" s="5"/>
      <c r="T11">
        <v>160</v>
      </c>
    </row>
    <row r="12" spans="1:20" x14ac:dyDescent="0.5">
      <c r="A12" s="3"/>
      <c r="B12" s="2"/>
      <c r="C12" s="4"/>
      <c r="D12" s="4"/>
      <c r="E12" s="2" t="s">
        <v>9</v>
      </c>
      <c r="F12" s="4">
        <v>300</v>
      </c>
      <c r="G12" s="4"/>
      <c r="J12" s="5"/>
      <c r="K12" s="4"/>
      <c r="L12" s="4"/>
      <c r="M12" s="2" t="s">
        <v>53</v>
      </c>
      <c r="N12" s="4">
        <v>13</v>
      </c>
      <c r="O12" s="4"/>
      <c r="P12" s="2"/>
      <c r="Q12" s="4"/>
      <c r="R12" s="4"/>
      <c r="S12" s="5"/>
    </row>
    <row r="13" spans="1:20" x14ac:dyDescent="0.5">
      <c r="A13" s="3"/>
      <c r="B13" s="2"/>
      <c r="C13" s="4"/>
      <c r="D13" s="4"/>
      <c r="E13" s="2" t="s">
        <v>13</v>
      </c>
      <c r="F13" s="4">
        <v>12</v>
      </c>
      <c r="G13" s="4"/>
      <c r="J13" s="5"/>
      <c r="K13" s="4"/>
      <c r="L13" s="4"/>
      <c r="M13" s="2" t="s">
        <v>54</v>
      </c>
      <c r="N13" s="4">
        <v>13</v>
      </c>
      <c r="O13" s="4"/>
      <c r="P13" s="2"/>
      <c r="Q13" s="4"/>
      <c r="R13" s="4"/>
      <c r="S13" s="5"/>
    </row>
    <row r="14" spans="1:20" x14ac:dyDescent="0.5">
      <c r="A14" s="3"/>
      <c r="B14" s="2"/>
      <c r="C14" s="4"/>
      <c r="D14" s="4"/>
      <c r="E14" s="2" t="s">
        <v>14</v>
      </c>
      <c r="F14" s="4">
        <v>13</v>
      </c>
      <c r="G14" s="4"/>
      <c r="J14" s="5"/>
      <c r="K14" s="4"/>
      <c r="L14" s="4"/>
      <c r="M14" s="2"/>
      <c r="N14" s="4"/>
      <c r="O14" s="4"/>
      <c r="P14" s="2"/>
      <c r="Q14" s="4"/>
      <c r="R14" s="4"/>
      <c r="S14" s="5"/>
      <c r="T14">
        <f>SUM(T8:T11)</f>
        <v>560</v>
      </c>
    </row>
    <row r="15" spans="1:20" x14ac:dyDescent="0.5">
      <c r="A15" s="3"/>
      <c r="B15" s="2"/>
      <c r="C15" s="4"/>
      <c r="D15" s="4"/>
      <c r="E15" s="2" t="s">
        <v>48</v>
      </c>
      <c r="F15" s="4">
        <v>90</v>
      </c>
      <c r="G15" s="4"/>
      <c r="H15" s="2"/>
      <c r="I15" s="4"/>
      <c r="J15" s="5"/>
      <c r="K15" s="4"/>
      <c r="L15" s="4"/>
      <c r="M15" s="2"/>
      <c r="N15" s="4"/>
      <c r="O15" s="4"/>
      <c r="P15" s="2"/>
      <c r="Q15" s="4"/>
      <c r="R15" s="4"/>
      <c r="S15" s="5"/>
    </row>
    <row r="16" spans="1:20" x14ac:dyDescent="0.5">
      <c r="A16" s="3"/>
      <c r="B16" s="2"/>
      <c r="D16" s="4"/>
      <c r="E16" s="2" t="s">
        <v>56</v>
      </c>
      <c r="F16" s="4">
        <v>100</v>
      </c>
      <c r="G16" s="4"/>
      <c r="H16" s="4"/>
      <c r="I16" s="4"/>
      <c r="J16" s="5"/>
      <c r="K16" s="4"/>
      <c r="L16" s="4"/>
      <c r="M16" s="2"/>
      <c r="N16" s="4"/>
      <c r="O16" s="4"/>
      <c r="P16" s="4"/>
      <c r="Q16" s="4"/>
      <c r="R16" s="4"/>
      <c r="S16" s="5"/>
    </row>
    <row r="17" spans="1:19" x14ac:dyDescent="0.5">
      <c r="A17" s="3"/>
      <c r="B17" s="2"/>
      <c r="C17" s="4"/>
      <c r="D17" s="4"/>
      <c r="E17" s="2"/>
      <c r="F17" s="4"/>
      <c r="G17" s="4"/>
      <c r="H17" s="4"/>
      <c r="I17" s="4"/>
      <c r="J17" s="5"/>
      <c r="K17" s="4"/>
      <c r="L17" s="4"/>
      <c r="M17" s="2"/>
      <c r="N17" s="4"/>
      <c r="O17" s="4"/>
      <c r="P17" s="4"/>
      <c r="Q17" s="4"/>
      <c r="R17" s="4"/>
      <c r="S17" s="5"/>
    </row>
    <row r="18" spans="1:19" x14ac:dyDescent="0.5">
      <c r="A18" s="3"/>
      <c r="B18" s="4"/>
      <c r="C18" s="4"/>
      <c r="D18" s="4"/>
      <c r="E18" s="2"/>
      <c r="F18" s="4"/>
      <c r="G18" s="4"/>
      <c r="H18" s="4"/>
      <c r="I18" s="4"/>
      <c r="J18" s="5"/>
      <c r="K18" s="4"/>
      <c r="L18" s="4"/>
      <c r="M18" s="4"/>
      <c r="N18" s="4"/>
      <c r="O18" s="4"/>
      <c r="P18" s="4"/>
      <c r="Q18" s="4"/>
      <c r="R18" s="4"/>
      <c r="S18" s="5"/>
    </row>
    <row r="19" spans="1:19" x14ac:dyDescent="0.5">
      <c r="A19" s="3"/>
      <c r="B19" s="4"/>
      <c r="C19" s="4"/>
      <c r="D19" s="4"/>
      <c r="E19" s="4"/>
      <c r="F19" s="4"/>
      <c r="G19" s="4"/>
      <c r="H19" s="4"/>
      <c r="I19" s="4"/>
      <c r="J19" s="5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5">
      <c r="A20" s="3"/>
      <c r="B20" s="7" t="s">
        <v>4</v>
      </c>
      <c r="C20" s="4">
        <f>SUM(C7:C18)</f>
        <v>2800</v>
      </c>
      <c r="D20" s="4"/>
      <c r="E20" s="4"/>
      <c r="F20" s="4">
        <f>SUM(F7:F18)+100</f>
        <v>2202</v>
      </c>
      <c r="G20" s="4"/>
      <c r="H20" s="4"/>
      <c r="I20" s="4">
        <f>SUM(I7:I18)</f>
        <v>0</v>
      </c>
      <c r="J20" s="5"/>
      <c r="K20" s="4"/>
      <c r="L20" s="4"/>
      <c r="M20" s="4"/>
      <c r="N20" s="4">
        <f>SUM(N7:N18)</f>
        <v>976</v>
      </c>
      <c r="O20" s="4"/>
      <c r="P20" s="4"/>
      <c r="Q20" s="4">
        <f>SUM(Q7:Q17)</f>
        <v>0</v>
      </c>
      <c r="R20" s="4"/>
      <c r="S20" s="5"/>
    </row>
    <row r="21" spans="1:19" x14ac:dyDescent="0.5">
      <c r="A21" s="3"/>
      <c r="B21" s="4"/>
      <c r="C21" s="4"/>
      <c r="D21" s="4"/>
      <c r="E21" s="4"/>
      <c r="F21" s="4"/>
      <c r="G21" s="4"/>
      <c r="H21" s="4"/>
      <c r="I21" s="4"/>
      <c r="J21" s="5"/>
      <c r="K21" s="4"/>
      <c r="L21" s="4"/>
      <c r="M21" s="4"/>
      <c r="N21" s="4"/>
      <c r="O21" s="4"/>
      <c r="P21" s="4"/>
      <c r="Q21" s="4"/>
      <c r="R21" s="4"/>
      <c r="S21" s="5"/>
    </row>
    <row r="22" spans="1:19" x14ac:dyDescent="0.5">
      <c r="A22" s="3"/>
      <c r="B22" s="4"/>
      <c r="C22" s="4"/>
      <c r="D22" s="4"/>
      <c r="E22" s="4"/>
      <c r="F22" s="4"/>
      <c r="G22" s="4"/>
      <c r="H22" s="4"/>
      <c r="I22" s="4"/>
      <c r="J22" s="5"/>
      <c r="K22" s="4"/>
      <c r="L22" s="4"/>
      <c r="M22" s="4"/>
      <c r="N22" s="4"/>
      <c r="O22" s="4"/>
      <c r="P22" s="4"/>
      <c r="Q22" s="4"/>
      <c r="R22" s="4"/>
      <c r="S22" s="5"/>
    </row>
    <row r="23" spans="1:19" x14ac:dyDescent="0.5">
      <c r="A23" s="3"/>
      <c r="B23" s="4"/>
      <c r="C23" s="4"/>
      <c r="D23" s="4"/>
      <c r="E23" s="4"/>
      <c r="F23" s="4"/>
      <c r="G23" s="4"/>
      <c r="H23" s="4"/>
      <c r="I23" s="4"/>
      <c r="J23" s="5"/>
      <c r="K23" s="4"/>
      <c r="L23" s="4"/>
      <c r="M23" s="4"/>
      <c r="N23" s="4"/>
      <c r="O23" s="4"/>
      <c r="P23" s="4"/>
      <c r="Q23" s="4"/>
      <c r="R23" s="4"/>
      <c r="S23" s="5"/>
    </row>
    <row r="24" spans="1:19" x14ac:dyDescent="0.5">
      <c r="A24" s="3"/>
      <c r="B24" s="4"/>
      <c r="C24" s="7" t="s">
        <v>8</v>
      </c>
      <c r="D24" s="4">
        <f>C20+F20+I20</f>
        <v>5002</v>
      </c>
      <c r="E24" s="4"/>
      <c r="F24" s="4"/>
      <c r="G24" s="4"/>
      <c r="H24" s="4"/>
      <c r="I24" s="4"/>
      <c r="J24" s="5"/>
      <c r="K24" s="7" t="s">
        <v>4</v>
      </c>
      <c r="L24" s="4"/>
      <c r="M24" s="4"/>
      <c r="N24" s="4"/>
      <c r="O24" s="4"/>
      <c r="P24" s="4">
        <f>N20+Q20</f>
        <v>976</v>
      </c>
      <c r="Q24" s="4"/>
      <c r="R24" s="4"/>
      <c r="S24" s="5"/>
    </row>
    <row r="25" spans="1:19" x14ac:dyDescent="0.5">
      <c r="A25" s="3"/>
      <c r="B25" s="4"/>
      <c r="C25" s="4"/>
      <c r="D25" s="4"/>
      <c r="E25" s="4"/>
      <c r="F25" s="4"/>
      <c r="G25" s="4"/>
      <c r="H25" s="4"/>
      <c r="I25" s="4"/>
      <c r="J25" s="5"/>
      <c r="K25" s="4"/>
      <c r="L25" s="4"/>
      <c r="M25" s="4"/>
      <c r="N25" s="4"/>
      <c r="O25" s="4"/>
      <c r="P25" s="4"/>
      <c r="Q25" s="4"/>
      <c r="R25" s="4"/>
      <c r="S25" s="5"/>
    </row>
    <row r="26" spans="1:19" x14ac:dyDescent="0.5">
      <c r="A26" s="3"/>
      <c r="B26" s="4"/>
      <c r="C26" s="4"/>
      <c r="D26" s="4"/>
      <c r="E26" s="4"/>
      <c r="F26" s="4"/>
      <c r="G26" s="4"/>
      <c r="H26" s="4"/>
      <c r="I26" s="4"/>
      <c r="J26" s="5"/>
      <c r="K26" s="4"/>
      <c r="L26" s="4"/>
      <c r="M26" s="4"/>
      <c r="N26" s="4"/>
      <c r="O26" s="4"/>
      <c r="P26" s="4"/>
      <c r="Q26" s="4"/>
      <c r="R26" s="4"/>
      <c r="S26" s="5"/>
    </row>
    <row r="27" spans="1:19" x14ac:dyDescent="0.5">
      <c r="A27" s="3"/>
      <c r="B27" s="7" t="s">
        <v>6</v>
      </c>
      <c r="C27" s="4">
        <f>G4-D24</f>
        <v>-1902</v>
      </c>
      <c r="D27" s="4"/>
      <c r="E27" s="4"/>
      <c r="F27" s="4"/>
      <c r="G27" s="4"/>
      <c r="H27" s="4"/>
      <c r="I27" s="4"/>
      <c r="J27" s="5"/>
      <c r="K27" s="7" t="s">
        <v>21</v>
      </c>
      <c r="L27" s="4">
        <f>O4-P24</f>
        <v>504</v>
      </c>
      <c r="M27" s="4"/>
      <c r="N27" s="4"/>
      <c r="O27" s="4"/>
      <c r="P27" s="4"/>
      <c r="Q27" s="4"/>
      <c r="R27" s="4"/>
      <c r="S27" s="5"/>
    </row>
    <row r="28" spans="1:19" x14ac:dyDescent="0.5">
      <c r="A28" s="3"/>
      <c r="B28" s="4"/>
      <c r="C28" s="4"/>
      <c r="D28" s="4"/>
      <c r="E28" s="4"/>
      <c r="F28" s="4"/>
      <c r="G28" s="4"/>
      <c r="H28" s="4"/>
      <c r="I28" s="4"/>
      <c r="J28" s="5"/>
      <c r="K28" s="4"/>
      <c r="L28" s="4"/>
      <c r="M28" s="4"/>
      <c r="N28" s="4"/>
      <c r="O28" s="4"/>
      <c r="P28" s="4"/>
      <c r="Q28" s="4"/>
      <c r="R28" s="4"/>
      <c r="S28" s="5"/>
    </row>
    <row r="29" spans="1:19" x14ac:dyDescent="0.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x14ac:dyDescent="0.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x14ac:dyDescent="0.5">
      <c r="A32" s="2"/>
      <c r="B32" s="7" t="s">
        <v>25</v>
      </c>
      <c r="C32" s="4"/>
      <c r="D32" s="4"/>
      <c r="E32" s="4"/>
      <c r="F32" s="4"/>
      <c r="G32" s="4"/>
      <c r="H32" s="4"/>
      <c r="I32" s="4"/>
      <c r="J32" s="4">
        <f>C27+L27</f>
        <v>-1398</v>
      </c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5">
      <c r="A33" s="2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60" spans="2:3" x14ac:dyDescent="0.5">
      <c r="B60" s="7" t="s">
        <v>2</v>
      </c>
      <c r="C60" s="4">
        <v>1900</v>
      </c>
    </row>
    <row r="96" spans="2:2" x14ac:dyDescent="0.5">
      <c r="B96">
        <v>3000</v>
      </c>
    </row>
    <row r="97" spans="2:16" x14ac:dyDescent="0.5">
      <c r="B97">
        <v>2500</v>
      </c>
      <c r="J97">
        <v>3000</v>
      </c>
    </row>
    <row r="98" spans="2:16" x14ac:dyDescent="0.5">
      <c r="B98">
        <v>2500</v>
      </c>
      <c r="J98">
        <v>600</v>
      </c>
    </row>
    <row r="99" spans="2:16" x14ac:dyDescent="0.5">
      <c r="B99">
        <v>800</v>
      </c>
    </row>
    <row r="100" spans="2:16" x14ac:dyDescent="0.5">
      <c r="B100">
        <v>700</v>
      </c>
    </row>
    <row r="104" spans="2:16" x14ac:dyDescent="0.5">
      <c r="B104">
        <f>SUM(B96:B100)</f>
        <v>9500</v>
      </c>
      <c r="D104">
        <f>B104-7000</f>
        <v>2500</v>
      </c>
    </row>
    <row r="105" spans="2:16" x14ac:dyDescent="0.5">
      <c r="P105">
        <v>126</v>
      </c>
    </row>
    <row r="106" spans="2:16" x14ac:dyDescent="0.5">
      <c r="P106" s="4">
        <v>12</v>
      </c>
    </row>
    <row r="107" spans="2:16" x14ac:dyDescent="0.5">
      <c r="P107" s="4">
        <v>10</v>
      </c>
    </row>
    <row r="108" spans="2:16" x14ac:dyDescent="0.5">
      <c r="P108" s="4">
        <v>20</v>
      </c>
    </row>
    <row r="109" spans="2:16" x14ac:dyDescent="0.5">
      <c r="P109" s="4">
        <v>20</v>
      </c>
    </row>
    <row r="110" spans="2:16" x14ac:dyDescent="0.5">
      <c r="P110" s="4">
        <v>20</v>
      </c>
    </row>
    <row r="111" spans="2:16" x14ac:dyDescent="0.5">
      <c r="P111" s="4">
        <v>3.99</v>
      </c>
    </row>
    <row r="112" spans="2:16" x14ac:dyDescent="0.5">
      <c r="P112" s="4">
        <v>100</v>
      </c>
    </row>
    <row r="113" spans="5:16" x14ac:dyDescent="0.5">
      <c r="E113">
        <v>1400</v>
      </c>
      <c r="P113" s="4">
        <v>75</v>
      </c>
    </row>
    <row r="114" spans="5:16" x14ac:dyDescent="0.5">
      <c r="E114">
        <v>1300</v>
      </c>
      <c r="P114" s="4">
        <v>60</v>
      </c>
    </row>
    <row r="115" spans="5:16" x14ac:dyDescent="0.5">
      <c r="E115">
        <v>950</v>
      </c>
      <c r="P115" s="4"/>
    </row>
    <row r="116" spans="5:16" x14ac:dyDescent="0.5">
      <c r="P116" s="4">
        <v>70</v>
      </c>
    </row>
    <row r="119" spans="5:16" x14ac:dyDescent="0.5">
      <c r="E119">
        <f>SUM(E113:E117)</f>
        <v>3650</v>
      </c>
    </row>
    <row r="123" spans="5:16" x14ac:dyDescent="0.5">
      <c r="P123">
        <f>SUM(P103:P120)</f>
        <v>516.99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4D6B5-EDB4-4F00-8178-BEA92D2455E4}">
  <sheetPr codeName="Feuil2"/>
  <dimension ref="A1:T123"/>
  <sheetViews>
    <sheetView topLeftCell="A4" zoomScale="80" zoomScaleNormal="80" workbookViewId="0">
      <selection sqref="A1:XFD1048576"/>
    </sheetView>
  </sheetViews>
  <sheetFormatPr baseColWidth="10" defaultRowHeight="15.75" x14ac:dyDescent="0.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0" x14ac:dyDescent="0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x14ac:dyDescent="0.5">
      <c r="A3" s="3"/>
      <c r="B3" s="2"/>
      <c r="C3" s="4"/>
      <c r="D3" s="4"/>
      <c r="E3" s="4"/>
      <c r="F3" s="4"/>
      <c r="G3" s="4"/>
      <c r="H3" s="4" t="s">
        <v>59</v>
      </c>
      <c r="I3" s="4" t="s">
        <v>60</v>
      </c>
      <c r="J3" s="5"/>
      <c r="K3" s="4"/>
      <c r="L3" s="4"/>
      <c r="M3" s="4"/>
      <c r="N3" s="4"/>
      <c r="O3" s="4"/>
      <c r="P3" s="4"/>
      <c r="Q3" s="4"/>
      <c r="R3" s="4"/>
      <c r="S3" s="5"/>
    </row>
    <row r="4" spans="1:20" x14ac:dyDescent="0.5">
      <c r="A4" s="3"/>
      <c r="B4" s="2"/>
      <c r="C4" s="4"/>
      <c r="D4" s="4"/>
      <c r="E4" s="6" t="s">
        <v>19</v>
      </c>
      <c r="F4" s="7" t="s">
        <v>5</v>
      </c>
      <c r="G4" s="4">
        <f>H4+I4</f>
        <v>3100</v>
      </c>
      <c r="H4" s="4">
        <v>1900</v>
      </c>
      <c r="I4" s="4">
        <v>1200</v>
      </c>
      <c r="J4" s="5"/>
      <c r="K4" s="4"/>
      <c r="L4" s="4"/>
      <c r="M4" s="6" t="s">
        <v>20</v>
      </c>
      <c r="N4" s="7" t="s">
        <v>5</v>
      </c>
      <c r="O4" s="4">
        <v>1480</v>
      </c>
      <c r="P4" s="4"/>
      <c r="Q4" s="4"/>
      <c r="R4" s="4"/>
      <c r="S4" s="5"/>
    </row>
    <row r="5" spans="1:20" x14ac:dyDescent="0.5">
      <c r="A5" s="3"/>
      <c r="B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5"/>
    </row>
    <row r="6" spans="1:20" x14ac:dyDescent="0.5">
      <c r="A6" s="3"/>
      <c r="B6" s="2"/>
      <c r="C6" s="7" t="s">
        <v>16</v>
      </c>
      <c r="D6" s="8"/>
      <c r="E6" s="7" t="s">
        <v>17</v>
      </c>
      <c r="F6" s="8"/>
      <c r="G6" s="7"/>
      <c r="H6" s="7" t="s">
        <v>18</v>
      </c>
      <c r="I6" s="7"/>
      <c r="J6" s="5"/>
      <c r="K6" s="7" t="s">
        <v>16</v>
      </c>
      <c r="L6" s="8"/>
      <c r="M6" s="7" t="s">
        <v>17</v>
      </c>
      <c r="N6" s="8"/>
      <c r="O6" s="7"/>
      <c r="P6" s="7" t="s">
        <v>18</v>
      </c>
      <c r="Q6" s="7"/>
      <c r="R6" s="4"/>
      <c r="S6" s="5"/>
    </row>
    <row r="7" spans="1:20" x14ac:dyDescent="0.5">
      <c r="A7" s="3"/>
      <c r="B7" s="2" t="s">
        <v>46</v>
      </c>
      <c r="C7" s="4">
        <v>1900</v>
      </c>
      <c r="D7" s="4"/>
      <c r="E7" s="2" t="s">
        <v>0</v>
      </c>
      <c r="F7" s="4">
        <v>882</v>
      </c>
      <c r="G7" s="4"/>
      <c r="H7" s="2"/>
      <c r="I7" s="4"/>
      <c r="J7" s="5"/>
      <c r="K7" s="4"/>
      <c r="L7" s="4"/>
      <c r="M7" s="2" t="s">
        <v>26</v>
      </c>
      <c r="N7" s="4">
        <v>150</v>
      </c>
      <c r="O7" s="4"/>
      <c r="P7" s="2"/>
      <c r="Q7" s="4"/>
      <c r="R7" s="4"/>
      <c r="S7" s="5"/>
    </row>
    <row r="8" spans="1:20" x14ac:dyDescent="0.5">
      <c r="A8" s="3"/>
      <c r="B8" s="2" t="s">
        <v>55</v>
      </c>
      <c r="C8" s="4" t="s">
        <v>63</v>
      </c>
      <c r="D8" s="4"/>
      <c r="E8" s="2" t="s">
        <v>10</v>
      </c>
      <c r="F8" s="4">
        <v>72</v>
      </c>
      <c r="G8" s="4"/>
      <c r="H8" s="2"/>
      <c r="I8" s="4"/>
      <c r="J8" s="5"/>
      <c r="K8" s="4"/>
      <c r="L8" s="4"/>
      <c r="M8" s="2" t="s">
        <v>49</v>
      </c>
      <c r="N8" s="4">
        <v>200</v>
      </c>
      <c r="O8" s="4"/>
      <c r="P8" s="2"/>
      <c r="Q8" s="4"/>
      <c r="R8" s="4"/>
      <c r="S8" s="5"/>
      <c r="T8">
        <v>50</v>
      </c>
    </row>
    <row r="9" spans="1:20" x14ac:dyDescent="0.5">
      <c r="A9" s="3"/>
      <c r="B9" s="2" t="s">
        <v>28</v>
      </c>
      <c r="C9" s="4">
        <v>400</v>
      </c>
      <c r="D9" s="4"/>
      <c r="E9" s="2" t="s">
        <v>47</v>
      </c>
      <c r="F9" s="4">
        <v>300</v>
      </c>
      <c r="G9" s="4"/>
      <c r="H9" s="2"/>
      <c r="I9" s="4"/>
      <c r="J9" s="5"/>
      <c r="K9" s="4"/>
      <c r="L9" s="4"/>
      <c r="M9" s="2" t="s">
        <v>50</v>
      </c>
      <c r="N9" s="4">
        <v>200</v>
      </c>
      <c r="O9" s="4"/>
      <c r="P9" s="2"/>
      <c r="Q9" s="4"/>
      <c r="R9" s="4"/>
      <c r="S9" s="5"/>
      <c r="T9">
        <v>200</v>
      </c>
    </row>
    <row r="10" spans="1:20" x14ac:dyDescent="0.5">
      <c r="A10" s="3"/>
      <c r="B10" s="2" t="s">
        <v>62</v>
      </c>
      <c r="C10" s="4">
        <v>150</v>
      </c>
      <c r="D10" s="4"/>
      <c r="E10" s="2" t="s">
        <v>3</v>
      </c>
      <c r="F10" s="4">
        <v>283</v>
      </c>
      <c r="G10" s="4"/>
      <c r="H10" s="2"/>
      <c r="I10" s="4"/>
      <c r="J10" s="5"/>
      <c r="K10" s="4"/>
      <c r="L10" s="4"/>
      <c r="M10" s="2" t="s">
        <v>51</v>
      </c>
      <c r="N10" s="4">
        <v>300</v>
      </c>
      <c r="O10" s="4"/>
      <c r="P10" s="2"/>
      <c r="Q10" s="4"/>
      <c r="R10" s="4"/>
      <c r="S10" s="5"/>
      <c r="T10">
        <v>150</v>
      </c>
    </row>
    <row r="11" spans="1:20" x14ac:dyDescent="0.5">
      <c r="A11" s="3"/>
      <c r="B11" s="2" t="s">
        <v>72</v>
      </c>
      <c r="C11" s="4">
        <v>1250</v>
      </c>
      <c r="D11" s="4"/>
      <c r="E11" s="2" t="s">
        <v>1</v>
      </c>
      <c r="F11" s="4">
        <v>50</v>
      </c>
      <c r="G11" s="4"/>
      <c r="J11" s="5"/>
      <c r="K11" s="4"/>
      <c r="L11" s="4"/>
      <c r="M11" s="2" t="s">
        <v>52</v>
      </c>
      <c r="N11" s="4">
        <v>100</v>
      </c>
      <c r="O11" s="4"/>
      <c r="P11" s="2"/>
      <c r="Q11" s="4"/>
      <c r="R11" s="4"/>
      <c r="S11" s="5"/>
      <c r="T11">
        <v>160</v>
      </c>
    </row>
    <row r="12" spans="1:20" x14ac:dyDescent="0.5">
      <c r="A12" s="3"/>
      <c r="B12" s="2"/>
      <c r="C12" s="4">
        <v>-2000</v>
      </c>
      <c r="D12" s="4"/>
      <c r="E12" s="2" t="s">
        <v>9</v>
      </c>
      <c r="F12" s="4">
        <v>300</v>
      </c>
      <c r="G12" s="4"/>
      <c r="J12" s="5"/>
      <c r="K12" s="4"/>
      <c r="L12" s="4"/>
      <c r="M12" s="2" t="s">
        <v>53</v>
      </c>
      <c r="N12" s="4">
        <v>13</v>
      </c>
      <c r="O12" s="4"/>
      <c r="P12" s="2"/>
      <c r="Q12" s="4"/>
      <c r="R12" s="4"/>
      <c r="S12" s="5"/>
    </row>
    <row r="13" spans="1:20" x14ac:dyDescent="0.5">
      <c r="A13" s="3"/>
      <c r="B13" s="2"/>
      <c r="C13" s="4"/>
      <c r="D13" s="4"/>
      <c r="E13" s="2" t="s">
        <v>13</v>
      </c>
      <c r="F13" s="4">
        <v>12</v>
      </c>
      <c r="G13" s="4"/>
      <c r="J13" s="5"/>
      <c r="K13" s="4"/>
      <c r="L13" s="4"/>
      <c r="M13" s="2" t="s">
        <v>54</v>
      </c>
      <c r="N13" s="4">
        <v>13</v>
      </c>
      <c r="O13" s="4"/>
      <c r="P13" s="2"/>
      <c r="Q13" s="4"/>
      <c r="R13" s="4"/>
      <c r="S13" s="5"/>
    </row>
    <row r="14" spans="1:20" x14ac:dyDescent="0.5">
      <c r="A14" s="3"/>
      <c r="B14" s="2"/>
      <c r="C14" s="4"/>
      <c r="D14" s="4"/>
      <c r="E14" s="2" t="s">
        <v>14</v>
      </c>
      <c r="F14" s="4">
        <v>13</v>
      </c>
      <c r="G14" s="4"/>
      <c r="J14" s="5"/>
      <c r="K14" s="4"/>
      <c r="L14" s="4"/>
      <c r="M14" s="2"/>
      <c r="N14" s="4"/>
      <c r="O14" s="4"/>
      <c r="P14" s="2"/>
      <c r="Q14" s="4"/>
      <c r="R14" s="4"/>
      <c r="S14" s="5"/>
      <c r="T14">
        <f>SUM(T8:T11)</f>
        <v>560</v>
      </c>
    </row>
    <row r="15" spans="1:20" x14ac:dyDescent="0.5">
      <c r="A15" s="3"/>
      <c r="B15" s="2"/>
      <c r="C15" s="4"/>
      <c r="D15" s="4"/>
      <c r="E15" s="2" t="s">
        <v>48</v>
      </c>
      <c r="F15" s="4">
        <v>400</v>
      </c>
      <c r="G15" s="4"/>
      <c r="H15" s="2"/>
      <c r="I15" s="4"/>
      <c r="J15" s="5"/>
      <c r="K15" s="4"/>
      <c r="L15" s="4"/>
      <c r="M15" s="2"/>
      <c r="N15" s="4"/>
      <c r="O15" s="4"/>
      <c r="P15" s="2"/>
      <c r="Q15" s="4"/>
      <c r="R15" s="4"/>
      <c r="S15" s="5"/>
    </row>
    <row r="16" spans="1:20" x14ac:dyDescent="0.5">
      <c r="A16" s="3"/>
      <c r="B16" s="2"/>
      <c r="D16" s="4"/>
      <c r="E16" s="2" t="s">
        <v>56</v>
      </c>
      <c r="F16" s="4">
        <v>100</v>
      </c>
      <c r="G16" s="4"/>
      <c r="H16" s="4"/>
      <c r="I16" s="4"/>
      <c r="J16" s="5"/>
      <c r="K16" s="4"/>
      <c r="L16" s="4"/>
      <c r="M16" s="2"/>
      <c r="N16" s="4"/>
      <c r="O16" s="4"/>
      <c r="P16" s="4"/>
      <c r="Q16" s="4"/>
      <c r="R16" s="4"/>
      <c r="S16" s="5"/>
    </row>
    <row r="17" spans="1:19" x14ac:dyDescent="0.5">
      <c r="A17" s="3"/>
      <c r="B17" s="2"/>
      <c r="C17" s="4"/>
      <c r="D17" s="4"/>
      <c r="E17" s="2" t="s">
        <v>11</v>
      </c>
      <c r="F17" s="4">
        <v>90</v>
      </c>
      <c r="G17" s="4"/>
      <c r="H17" s="4"/>
      <c r="I17" s="4"/>
      <c r="J17" s="5"/>
      <c r="K17" s="4"/>
      <c r="L17" s="4"/>
      <c r="M17" s="2"/>
      <c r="N17" s="4"/>
      <c r="O17" s="4"/>
      <c r="P17" s="4"/>
      <c r="Q17" s="4"/>
      <c r="R17" s="4"/>
      <c r="S17" s="5"/>
    </row>
    <row r="18" spans="1:19" x14ac:dyDescent="0.5">
      <c r="A18" s="3"/>
      <c r="B18" s="4"/>
      <c r="C18" s="4"/>
      <c r="D18" s="4"/>
      <c r="E18" s="2"/>
      <c r="F18" s="4"/>
      <c r="G18" s="4"/>
      <c r="H18" s="4"/>
      <c r="I18" s="4"/>
      <c r="J18" s="5"/>
      <c r="K18" s="4"/>
      <c r="L18" s="4"/>
      <c r="M18" s="4"/>
      <c r="N18" s="4"/>
      <c r="O18" s="4"/>
      <c r="P18" s="4"/>
      <c r="Q18" s="4"/>
      <c r="R18" s="4"/>
      <c r="S18" s="5"/>
    </row>
    <row r="19" spans="1:19" x14ac:dyDescent="0.5">
      <c r="A19" s="3"/>
      <c r="B19" s="4"/>
      <c r="C19" s="4"/>
      <c r="D19" s="4"/>
      <c r="E19" s="4"/>
      <c r="F19" s="4"/>
      <c r="G19" s="4"/>
      <c r="H19" s="4"/>
      <c r="I19" s="4"/>
      <c r="J19" s="5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5">
      <c r="A20" s="3"/>
      <c r="B20" s="7" t="s">
        <v>4</v>
      </c>
      <c r="C20" s="4">
        <f>SUM(C7:C18)</f>
        <v>1700</v>
      </c>
      <c r="D20" s="4"/>
      <c r="E20" s="4"/>
      <c r="F20" s="4">
        <f>SUM(F7:F18)+100</f>
        <v>2602</v>
      </c>
      <c r="G20" s="4"/>
      <c r="H20" s="4"/>
      <c r="I20" s="4">
        <f>SUM(I7:I18)</f>
        <v>0</v>
      </c>
      <c r="J20" s="5"/>
      <c r="K20" s="4"/>
      <c r="L20" s="4"/>
      <c r="M20" s="4"/>
      <c r="N20" s="4">
        <f>SUM(N7:N18)</f>
        <v>976</v>
      </c>
      <c r="O20" s="4"/>
      <c r="P20" s="4"/>
      <c r="Q20" s="4">
        <f>SUM(Q7:Q17)</f>
        <v>0</v>
      </c>
      <c r="R20" s="4"/>
      <c r="S20" s="5"/>
    </row>
    <row r="21" spans="1:19" x14ac:dyDescent="0.5">
      <c r="A21" s="3"/>
      <c r="B21" s="4"/>
      <c r="C21" s="4"/>
      <c r="D21" s="4"/>
      <c r="E21" s="4"/>
      <c r="F21" s="4"/>
      <c r="G21" s="4"/>
      <c r="H21" s="4"/>
      <c r="I21" s="4"/>
      <c r="J21" s="5"/>
      <c r="K21" s="4"/>
      <c r="L21" s="4"/>
      <c r="M21" s="4"/>
      <c r="N21" s="4"/>
      <c r="O21" s="4"/>
      <c r="P21" s="4"/>
      <c r="Q21" s="4"/>
      <c r="R21" s="4"/>
      <c r="S21" s="5"/>
    </row>
    <row r="22" spans="1:19" x14ac:dyDescent="0.5">
      <c r="A22" s="3"/>
      <c r="B22" s="4"/>
      <c r="C22" s="4"/>
      <c r="D22" s="4"/>
      <c r="E22" s="4"/>
      <c r="F22" s="4"/>
      <c r="G22" s="4"/>
      <c r="H22" s="4"/>
      <c r="I22" s="4"/>
      <c r="J22" s="5"/>
      <c r="K22" s="4"/>
      <c r="L22" s="4"/>
      <c r="M22" s="4"/>
      <c r="N22" s="4"/>
      <c r="O22" s="4"/>
      <c r="P22" s="4"/>
      <c r="Q22" s="4"/>
      <c r="R22" s="4"/>
      <c r="S22" s="5"/>
    </row>
    <row r="23" spans="1:19" x14ac:dyDescent="0.5">
      <c r="A23" s="3"/>
      <c r="B23" s="4"/>
      <c r="C23" s="4"/>
      <c r="D23" s="4"/>
      <c r="E23" s="4"/>
      <c r="F23" s="4"/>
      <c r="G23" s="4"/>
      <c r="H23" s="4"/>
      <c r="I23" s="4"/>
      <c r="J23" s="5"/>
      <c r="K23" s="4"/>
      <c r="L23" s="4"/>
      <c r="M23" s="4"/>
      <c r="N23" s="4"/>
      <c r="O23" s="4"/>
      <c r="P23" s="4"/>
      <c r="Q23" s="4"/>
      <c r="R23" s="4"/>
      <c r="S23" s="5"/>
    </row>
    <row r="24" spans="1:19" x14ac:dyDescent="0.5">
      <c r="A24" s="3"/>
      <c r="B24" s="4"/>
      <c r="C24" s="7" t="s">
        <v>8</v>
      </c>
      <c r="D24" s="4">
        <f>C20+F20+I20</f>
        <v>4302</v>
      </c>
      <c r="E24" s="4"/>
      <c r="F24" s="4"/>
      <c r="G24" s="4"/>
      <c r="H24" s="4"/>
      <c r="I24" s="4"/>
      <c r="J24" s="5"/>
      <c r="K24" s="7" t="s">
        <v>4</v>
      </c>
      <c r="L24" s="4"/>
      <c r="M24" s="4"/>
      <c r="N24" s="4"/>
      <c r="O24" s="4"/>
      <c r="P24" s="4">
        <f>N20+Q20</f>
        <v>976</v>
      </c>
      <c r="Q24" s="4"/>
      <c r="R24" s="4"/>
      <c r="S24" s="5"/>
    </row>
    <row r="25" spans="1:19" x14ac:dyDescent="0.5">
      <c r="A25" s="3"/>
      <c r="B25" s="4"/>
      <c r="C25" s="4"/>
      <c r="D25" s="4"/>
      <c r="E25" s="4"/>
      <c r="F25" s="4"/>
      <c r="G25" s="4"/>
      <c r="H25" s="4"/>
      <c r="I25" s="4"/>
      <c r="J25" s="5"/>
      <c r="K25" s="4"/>
      <c r="L25" s="4"/>
      <c r="M25" s="4"/>
      <c r="N25" s="4"/>
      <c r="O25" s="4"/>
      <c r="P25" s="4"/>
      <c r="Q25" s="4"/>
      <c r="R25" s="4"/>
      <c r="S25" s="5"/>
    </row>
    <row r="26" spans="1:19" x14ac:dyDescent="0.5">
      <c r="A26" s="3"/>
      <c r="B26" s="4"/>
      <c r="C26" s="4"/>
      <c r="D26" s="4"/>
      <c r="E26" s="4"/>
      <c r="F26" s="4"/>
      <c r="G26" s="4"/>
      <c r="H26" s="4"/>
      <c r="I26" s="4"/>
      <c r="J26" s="5"/>
      <c r="K26" s="4"/>
      <c r="L26" s="4"/>
      <c r="M26" s="4"/>
      <c r="N26" s="4"/>
      <c r="O26" s="4"/>
      <c r="P26" s="4"/>
      <c r="Q26" s="4"/>
      <c r="R26" s="4"/>
      <c r="S26" s="5"/>
    </row>
    <row r="27" spans="1:19" x14ac:dyDescent="0.5">
      <c r="A27" s="3"/>
      <c r="B27" s="7" t="s">
        <v>6</v>
      </c>
      <c r="C27" s="4">
        <f>G4-D24</f>
        <v>-1202</v>
      </c>
      <c r="D27" s="4"/>
      <c r="E27" s="4"/>
      <c r="F27" s="4"/>
      <c r="G27" s="4"/>
      <c r="H27" s="4"/>
      <c r="I27" s="4"/>
      <c r="J27" s="5"/>
      <c r="K27" s="7" t="s">
        <v>21</v>
      </c>
      <c r="L27" s="4">
        <f>O4-P24</f>
        <v>504</v>
      </c>
      <c r="M27" s="4"/>
      <c r="N27" s="4"/>
      <c r="O27" s="4"/>
      <c r="P27" s="4"/>
      <c r="Q27" s="4"/>
      <c r="R27" s="4"/>
      <c r="S27" s="5"/>
    </row>
    <row r="28" spans="1:19" x14ac:dyDescent="0.5">
      <c r="A28" s="3"/>
      <c r="B28" s="4"/>
      <c r="C28" s="4"/>
      <c r="D28" s="4"/>
      <c r="E28" s="4"/>
      <c r="F28" s="4"/>
      <c r="G28" s="4"/>
      <c r="H28" s="4"/>
      <c r="I28" s="4"/>
      <c r="J28" s="5"/>
      <c r="K28" s="4"/>
      <c r="L28" s="4"/>
      <c r="M28" s="4"/>
      <c r="N28" s="4"/>
      <c r="O28" s="4"/>
      <c r="P28" s="4"/>
      <c r="Q28" s="4"/>
      <c r="R28" s="4"/>
      <c r="S28" s="5"/>
    </row>
    <row r="29" spans="1:19" x14ac:dyDescent="0.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x14ac:dyDescent="0.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x14ac:dyDescent="0.5">
      <c r="A32" s="2"/>
      <c r="B32" s="7" t="s">
        <v>25</v>
      </c>
      <c r="C32" s="4"/>
      <c r="D32" s="4"/>
      <c r="E32" s="4"/>
      <c r="F32" s="4"/>
      <c r="G32" s="4"/>
      <c r="H32" s="4"/>
      <c r="I32" s="4"/>
      <c r="J32" s="4">
        <f>C27+L27</f>
        <v>-698</v>
      </c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5">
      <c r="A33" s="2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60" spans="2:3" x14ac:dyDescent="0.5">
      <c r="B60" s="7" t="s">
        <v>2</v>
      </c>
      <c r="C60" s="4">
        <v>1900</v>
      </c>
    </row>
    <row r="96" spans="2:2" x14ac:dyDescent="0.5">
      <c r="B96">
        <v>3000</v>
      </c>
    </row>
    <row r="97" spans="2:16" x14ac:dyDescent="0.5">
      <c r="B97">
        <v>2500</v>
      </c>
      <c r="J97">
        <v>3000</v>
      </c>
    </row>
    <row r="98" spans="2:16" x14ac:dyDescent="0.5">
      <c r="B98">
        <v>2500</v>
      </c>
      <c r="J98">
        <v>600</v>
      </c>
    </row>
    <row r="99" spans="2:16" x14ac:dyDescent="0.5">
      <c r="B99">
        <v>800</v>
      </c>
    </row>
    <row r="100" spans="2:16" x14ac:dyDescent="0.5">
      <c r="B100">
        <v>700</v>
      </c>
    </row>
    <row r="104" spans="2:16" x14ac:dyDescent="0.5">
      <c r="B104">
        <f>SUM(B96:B100)</f>
        <v>9500</v>
      </c>
      <c r="D104">
        <f>B104-7000</f>
        <v>2500</v>
      </c>
    </row>
    <row r="105" spans="2:16" x14ac:dyDescent="0.5">
      <c r="P105">
        <v>126</v>
      </c>
    </row>
    <row r="106" spans="2:16" x14ac:dyDescent="0.5">
      <c r="P106" s="4">
        <v>12</v>
      </c>
    </row>
    <row r="107" spans="2:16" x14ac:dyDescent="0.5">
      <c r="P107" s="4">
        <v>10</v>
      </c>
    </row>
    <row r="108" spans="2:16" x14ac:dyDescent="0.5">
      <c r="P108" s="4">
        <v>20</v>
      </c>
    </row>
    <row r="109" spans="2:16" x14ac:dyDescent="0.5">
      <c r="P109" s="4">
        <v>20</v>
      </c>
    </row>
    <row r="110" spans="2:16" x14ac:dyDescent="0.5">
      <c r="P110" s="4">
        <v>20</v>
      </c>
    </row>
    <row r="111" spans="2:16" x14ac:dyDescent="0.5">
      <c r="P111" s="4">
        <v>3.99</v>
      </c>
    </row>
    <row r="112" spans="2:16" x14ac:dyDescent="0.5">
      <c r="P112" s="4">
        <v>100</v>
      </c>
    </row>
    <row r="113" spans="5:16" x14ac:dyDescent="0.5">
      <c r="E113">
        <v>1400</v>
      </c>
      <c r="P113" s="4">
        <v>75</v>
      </c>
    </row>
    <row r="114" spans="5:16" x14ac:dyDescent="0.5">
      <c r="E114">
        <v>1300</v>
      </c>
      <c r="P114" s="4">
        <v>60</v>
      </c>
    </row>
    <row r="115" spans="5:16" x14ac:dyDescent="0.5">
      <c r="E115">
        <v>950</v>
      </c>
      <c r="P115" s="4"/>
    </row>
    <row r="116" spans="5:16" x14ac:dyDescent="0.5">
      <c r="P116" s="4">
        <v>70</v>
      </c>
    </row>
    <row r="119" spans="5:16" x14ac:dyDescent="0.5">
      <c r="E119">
        <f>SUM(E113:E117)</f>
        <v>3650</v>
      </c>
    </row>
    <row r="123" spans="5:16" x14ac:dyDescent="0.5">
      <c r="P123">
        <f>SUM(P103:P120)</f>
        <v>516.99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58377-DA6D-4793-BFDF-E57BFC7E784F}">
  <sheetPr codeName="Feuil3"/>
  <dimension ref="A1:T123"/>
  <sheetViews>
    <sheetView topLeftCell="A10" zoomScale="90" zoomScaleNormal="90" workbookViewId="0">
      <selection activeCell="C16" sqref="C16"/>
    </sheetView>
  </sheetViews>
  <sheetFormatPr baseColWidth="10" defaultRowHeight="15.75" x14ac:dyDescent="0.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0" x14ac:dyDescent="0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x14ac:dyDescent="0.5">
      <c r="A3" s="3"/>
      <c r="B3" s="2"/>
      <c r="C3" s="4"/>
      <c r="D3" s="4"/>
      <c r="E3" s="4"/>
      <c r="F3" s="4"/>
      <c r="G3" s="4"/>
      <c r="H3" s="4" t="s">
        <v>59</v>
      </c>
      <c r="I3" s="4" t="s">
        <v>60</v>
      </c>
      <c r="J3" s="5"/>
      <c r="K3" s="4"/>
      <c r="L3" s="4"/>
      <c r="M3" s="4"/>
      <c r="N3" s="4"/>
      <c r="O3" s="4"/>
      <c r="P3" s="4"/>
      <c r="Q3" s="4"/>
      <c r="R3" s="4"/>
      <c r="S3" s="5"/>
    </row>
    <row r="4" spans="1:20" x14ac:dyDescent="0.5">
      <c r="A4" s="3"/>
      <c r="B4" s="2"/>
      <c r="C4" s="4"/>
      <c r="D4" s="4"/>
      <c r="E4" s="6" t="s">
        <v>19</v>
      </c>
      <c r="F4" s="7" t="s">
        <v>5</v>
      </c>
      <c r="G4" s="4">
        <f>H4+I4</f>
        <v>3100</v>
      </c>
      <c r="H4" s="4">
        <v>1900</v>
      </c>
      <c r="I4" s="4">
        <v>1200</v>
      </c>
      <c r="J4" s="5"/>
      <c r="K4" s="4"/>
      <c r="L4" s="4"/>
      <c r="M4" s="6" t="s">
        <v>20</v>
      </c>
      <c r="N4" s="7" t="s">
        <v>5</v>
      </c>
      <c r="O4" s="4">
        <v>1480</v>
      </c>
      <c r="P4" s="4"/>
      <c r="Q4" s="4"/>
      <c r="R4" s="4"/>
      <c r="S4" s="5"/>
    </row>
    <row r="5" spans="1:20" x14ac:dyDescent="0.5">
      <c r="A5" s="3"/>
      <c r="B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5"/>
    </row>
    <row r="6" spans="1:20" x14ac:dyDescent="0.5">
      <c r="A6" s="3"/>
      <c r="B6" s="2"/>
      <c r="C6" s="7" t="s">
        <v>16</v>
      </c>
      <c r="D6" s="8"/>
      <c r="E6" s="7" t="s">
        <v>17</v>
      </c>
      <c r="F6" s="8"/>
      <c r="G6" s="7"/>
      <c r="H6" s="7" t="s">
        <v>18</v>
      </c>
      <c r="I6" s="7"/>
      <c r="J6" s="5"/>
      <c r="K6" s="7" t="s">
        <v>16</v>
      </c>
      <c r="L6" s="8"/>
      <c r="M6" s="7" t="s">
        <v>17</v>
      </c>
      <c r="N6" s="8"/>
      <c r="O6" s="7"/>
      <c r="P6" s="7" t="s">
        <v>18</v>
      </c>
      <c r="Q6" s="7"/>
      <c r="R6" s="4"/>
      <c r="S6" s="5"/>
    </row>
    <row r="7" spans="1:20" x14ac:dyDescent="0.5">
      <c r="A7" s="3"/>
      <c r="B7" s="2" t="s">
        <v>46</v>
      </c>
      <c r="C7" s="4">
        <v>1300</v>
      </c>
      <c r="D7" s="4"/>
      <c r="E7" s="2" t="s">
        <v>0</v>
      </c>
      <c r="F7" s="4">
        <v>882</v>
      </c>
      <c r="G7" s="4"/>
      <c r="H7" s="2"/>
      <c r="I7" s="4"/>
      <c r="J7" s="5"/>
      <c r="K7" s="4"/>
      <c r="L7" s="4"/>
      <c r="M7" s="2" t="s">
        <v>26</v>
      </c>
      <c r="N7" s="4">
        <v>150</v>
      </c>
      <c r="O7" s="4"/>
      <c r="P7" s="2"/>
      <c r="Q7" s="4"/>
      <c r="R7" s="4"/>
      <c r="S7" s="5"/>
    </row>
    <row r="8" spans="1:20" x14ac:dyDescent="0.5">
      <c r="A8" s="3"/>
      <c r="B8" s="2" t="s">
        <v>55</v>
      </c>
      <c r="C8" s="4" t="s">
        <v>63</v>
      </c>
      <c r="D8" s="4"/>
      <c r="E8" s="2" t="s">
        <v>10</v>
      </c>
      <c r="F8" s="4">
        <v>72</v>
      </c>
      <c r="G8" s="4"/>
      <c r="H8" s="2"/>
      <c r="I8" s="4"/>
      <c r="J8" s="5"/>
      <c r="K8" s="4"/>
      <c r="L8" s="4"/>
      <c r="M8" s="2" t="s">
        <v>49</v>
      </c>
      <c r="N8" s="4">
        <v>200</v>
      </c>
      <c r="O8" s="4"/>
      <c r="P8" s="2"/>
      <c r="Q8" s="4"/>
      <c r="R8" s="4"/>
      <c r="S8" s="5"/>
      <c r="T8">
        <v>50</v>
      </c>
    </row>
    <row r="9" spans="1:20" x14ac:dyDescent="0.5">
      <c r="A9" s="3"/>
      <c r="B9" s="2" t="s">
        <v>28</v>
      </c>
      <c r="C9" s="4">
        <v>400</v>
      </c>
      <c r="D9" s="4"/>
      <c r="E9" s="2" t="s">
        <v>47</v>
      </c>
      <c r="F9" s="4">
        <v>300</v>
      </c>
      <c r="G9" s="4"/>
      <c r="H9" s="2"/>
      <c r="I9" s="4"/>
      <c r="J9" s="5"/>
      <c r="K9" s="4"/>
      <c r="L9" s="4"/>
      <c r="M9" s="2" t="s">
        <v>50</v>
      </c>
      <c r="N9" s="4">
        <v>200</v>
      </c>
      <c r="O9" s="4"/>
      <c r="P9" s="2"/>
      <c r="Q9" s="4"/>
      <c r="R9" s="4"/>
      <c r="S9" s="5"/>
      <c r="T9">
        <v>200</v>
      </c>
    </row>
    <row r="10" spans="1:20" x14ac:dyDescent="0.5">
      <c r="A10" s="3"/>
      <c r="B10" s="2" t="s">
        <v>62</v>
      </c>
      <c r="C10" s="4"/>
      <c r="D10" s="4"/>
      <c r="E10" s="2" t="s">
        <v>3</v>
      </c>
      <c r="F10" s="4">
        <v>283</v>
      </c>
      <c r="G10" s="4"/>
      <c r="H10" s="2"/>
      <c r="I10" s="4"/>
      <c r="J10" s="5"/>
      <c r="K10" s="4"/>
      <c r="L10" s="4"/>
      <c r="M10" s="2" t="s">
        <v>51</v>
      </c>
      <c r="N10" s="4">
        <v>300</v>
      </c>
      <c r="O10" s="4"/>
      <c r="P10" s="2"/>
      <c r="Q10" s="4"/>
      <c r="R10" s="4"/>
      <c r="S10" s="5"/>
      <c r="T10">
        <v>150</v>
      </c>
    </row>
    <row r="11" spans="1:20" x14ac:dyDescent="0.5">
      <c r="A11" s="3"/>
      <c r="B11" s="2" t="s">
        <v>58</v>
      </c>
      <c r="C11" s="4">
        <v>-500</v>
      </c>
      <c r="D11" s="4"/>
      <c r="E11" s="2" t="s">
        <v>1</v>
      </c>
      <c r="F11" s="4">
        <v>50</v>
      </c>
      <c r="G11" s="4"/>
      <c r="J11" s="5"/>
      <c r="K11" s="4"/>
      <c r="L11" s="4"/>
      <c r="M11" s="2" t="s">
        <v>52</v>
      </c>
      <c r="N11" s="4">
        <v>100</v>
      </c>
      <c r="O11" s="4"/>
      <c r="P11" s="2"/>
      <c r="Q11" s="4"/>
      <c r="R11" s="4"/>
      <c r="S11" s="5"/>
      <c r="T11">
        <v>160</v>
      </c>
    </row>
    <row r="12" spans="1:20" x14ac:dyDescent="0.5">
      <c r="A12" s="3"/>
      <c r="B12" s="2" t="s">
        <v>75</v>
      </c>
      <c r="C12" s="4">
        <v>-300</v>
      </c>
      <c r="D12" s="4"/>
      <c r="E12" s="2" t="s">
        <v>9</v>
      </c>
      <c r="F12" s="4">
        <v>300</v>
      </c>
      <c r="G12" s="4"/>
      <c r="J12" s="5"/>
      <c r="K12" s="4"/>
      <c r="L12" s="4"/>
      <c r="M12" s="2" t="s">
        <v>53</v>
      </c>
      <c r="N12" s="4">
        <v>13</v>
      </c>
      <c r="O12" s="4"/>
      <c r="P12" s="2"/>
      <c r="Q12" s="4"/>
      <c r="R12" s="4"/>
      <c r="S12" s="5"/>
    </row>
    <row r="13" spans="1:20" x14ac:dyDescent="0.5">
      <c r="A13" s="3"/>
      <c r="B13" s="2" t="s">
        <v>76</v>
      </c>
      <c r="C13" s="4">
        <v>380</v>
      </c>
      <c r="D13" s="4"/>
      <c r="E13" s="2" t="s">
        <v>13</v>
      </c>
      <c r="F13" s="4">
        <v>12</v>
      </c>
      <c r="G13" s="4"/>
      <c r="J13" s="5"/>
      <c r="K13" s="4"/>
      <c r="L13" s="4"/>
      <c r="M13" s="2" t="s">
        <v>54</v>
      </c>
      <c r="N13" s="4">
        <v>13</v>
      </c>
      <c r="O13" s="4"/>
      <c r="P13" s="2"/>
      <c r="Q13" s="4"/>
      <c r="R13" s="4"/>
      <c r="S13" s="5"/>
    </row>
    <row r="14" spans="1:20" x14ac:dyDescent="0.5">
      <c r="A14" s="3"/>
      <c r="B14" s="2" t="s">
        <v>77</v>
      </c>
      <c r="C14" s="4">
        <v>198</v>
      </c>
      <c r="D14" s="4"/>
      <c r="E14" s="2" t="s">
        <v>14</v>
      </c>
      <c r="F14" s="4">
        <v>13</v>
      </c>
      <c r="G14" s="4"/>
      <c r="J14" s="5"/>
      <c r="K14" s="4"/>
      <c r="L14" s="4"/>
      <c r="M14" s="2"/>
      <c r="N14" s="4"/>
      <c r="O14" s="4"/>
      <c r="P14" s="2"/>
      <c r="Q14" s="4"/>
      <c r="R14" s="4"/>
      <c r="S14" s="5"/>
      <c r="T14">
        <f>SUM(T8:T11)</f>
        <v>560</v>
      </c>
    </row>
    <row r="15" spans="1:20" x14ac:dyDescent="0.5">
      <c r="A15" s="3"/>
      <c r="B15" s="2" t="s">
        <v>78</v>
      </c>
      <c r="C15" s="4">
        <v>192</v>
      </c>
      <c r="D15" s="4"/>
      <c r="E15" s="2" t="s">
        <v>48</v>
      </c>
      <c r="F15" s="4">
        <v>450</v>
      </c>
      <c r="G15" s="4"/>
      <c r="H15" s="2"/>
      <c r="I15" s="4"/>
      <c r="J15" s="5"/>
      <c r="K15" s="4"/>
      <c r="L15" s="4"/>
      <c r="M15" s="2"/>
      <c r="N15" s="4"/>
      <c r="O15" s="4"/>
      <c r="P15" s="2"/>
      <c r="Q15" s="4"/>
      <c r="R15" s="4"/>
      <c r="S15" s="5"/>
    </row>
    <row r="16" spans="1:20" x14ac:dyDescent="0.5">
      <c r="A16" s="3"/>
      <c r="B16" s="2" t="s">
        <v>78</v>
      </c>
      <c r="C16" s="4">
        <v>202</v>
      </c>
      <c r="D16" s="4"/>
      <c r="E16" s="2" t="s">
        <v>56</v>
      </c>
      <c r="F16" s="4">
        <v>100</v>
      </c>
      <c r="G16" s="4"/>
      <c r="H16" s="4"/>
      <c r="I16" s="4"/>
      <c r="J16" s="5"/>
      <c r="K16" s="4"/>
      <c r="L16" s="4"/>
      <c r="M16" s="2"/>
      <c r="N16" s="4"/>
      <c r="O16" s="4"/>
      <c r="P16" s="4"/>
      <c r="Q16" s="4"/>
      <c r="R16" s="4"/>
      <c r="S16" s="5"/>
    </row>
    <row r="17" spans="1:19" x14ac:dyDescent="0.5">
      <c r="A17" s="3"/>
      <c r="B17" s="2"/>
      <c r="C17" s="4"/>
      <c r="D17" s="4"/>
      <c r="E17" s="2" t="s">
        <v>11</v>
      </c>
      <c r="F17" s="4">
        <v>90</v>
      </c>
      <c r="G17" s="4"/>
      <c r="H17" s="4"/>
      <c r="I17" s="4"/>
      <c r="J17" s="5"/>
      <c r="K17" s="4"/>
      <c r="L17" s="4"/>
      <c r="M17" s="2"/>
      <c r="N17" s="4"/>
      <c r="O17" s="4"/>
      <c r="P17" s="4"/>
      <c r="Q17" s="4"/>
      <c r="R17" s="4"/>
      <c r="S17" s="5"/>
    </row>
    <row r="18" spans="1:19" x14ac:dyDescent="0.5">
      <c r="A18" s="3"/>
      <c r="B18" s="4"/>
      <c r="C18" s="4"/>
      <c r="D18" s="4"/>
      <c r="E18" s="2"/>
      <c r="F18" s="4"/>
      <c r="G18" s="4"/>
      <c r="H18" s="4"/>
      <c r="I18" s="4"/>
      <c r="J18" s="5"/>
      <c r="K18" s="4"/>
      <c r="L18" s="4"/>
      <c r="M18" s="4"/>
      <c r="N18" s="4"/>
      <c r="O18" s="4"/>
      <c r="P18" s="4"/>
      <c r="Q18" s="4"/>
      <c r="R18" s="4"/>
      <c r="S18" s="5"/>
    </row>
    <row r="19" spans="1:19" x14ac:dyDescent="0.5">
      <c r="A19" s="3"/>
      <c r="B19" s="4"/>
      <c r="C19" s="4"/>
      <c r="D19" s="4"/>
      <c r="E19" s="4"/>
      <c r="F19" s="4"/>
      <c r="G19" s="4"/>
      <c r="H19" s="4"/>
      <c r="I19" s="4"/>
      <c r="J19" s="5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5">
      <c r="A20" s="3"/>
      <c r="B20" s="7" t="s">
        <v>4</v>
      </c>
      <c r="C20" s="4">
        <f>SUM(C7:C18)</f>
        <v>1872</v>
      </c>
      <c r="D20" s="4"/>
      <c r="E20" s="4"/>
      <c r="F20" s="4">
        <f>SUM(F7:F18)+100</f>
        <v>2652</v>
      </c>
      <c r="G20" s="4"/>
      <c r="H20" s="4"/>
      <c r="I20" s="4">
        <f>SUM(I7:I18)</f>
        <v>0</v>
      </c>
      <c r="J20" s="5"/>
      <c r="K20" s="4"/>
      <c r="L20" s="4"/>
      <c r="M20" s="4"/>
      <c r="N20" s="4">
        <f>SUM(N7:N18)</f>
        <v>976</v>
      </c>
      <c r="O20" s="4"/>
      <c r="P20" s="4"/>
      <c r="Q20" s="4">
        <f>SUM(Q7:Q17)</f>
        <v>0</v>
      </c>
      <c r="R20" s="4"/>
      <c r="S20" s="5"/>
    </row>
    <row r="21" spans="1:19" x14ac:dyDescent="0.5">
      <c r="A21" s="3"/>
      <c r="B21" s="4"/>
      <c r="C21" s="4"/>
      <c r="D21" s="4"/>
      <c r="E21" s="4"/>
      <c r="F21" s="4"/>
      <c r="G21" s="4"/>
      <c r="H21" s="4"/>
      <c r="I21" s="4"/>
      <c r="J21" s="5"/>
      <c r="K21" s="4"/>
      <c r="L21" s="4"/>
      <c r="M21" s="4"/>
      <c r="N21" s="4"/>
      <c r="O21" s="4"/>
      <c r="P21" s="4"/>
      <c r="Q21" s="4"/>
      <c r="R21" s="4"/>
      <c r="S21" s="5"/>
    </row>
    <row r="22" spans="1:19" x14ac:dyDescent="0.5">
      <c r="A22" s="3"/>
      <c r="B22" s="4"/>
      <c r="C22" s="4"/>
      <c r="D22" s="4"/>
      <c r="E22" s="4"/>
      <c r="F22" s="4"/>
      <c r="G22" s="4"/>
      <c r="H22" s="4"/>
      <c r="I22" s="4"/>
      <c r="J22" s="5"/>
      <c r="K22" s="4"/>
      <c r="L22" s="4"/>
      <c r="M22" s="4"/>
      <c r="N22" s="4"/>
      <c r="O22" s="4"/>
      <c r="P22" s="4"/>
      <c r="Q22" s="4"/>
      <c r="R22" s="4"/>
      <c r="S22" s="5"/>
    </row>
    <row r="23" spans="1:19" x14ac:dyDescent="0.5">
      <c r="A23" s="3"/>
      <c r="B23" s="4"/>
      <c r="C23" s="4"/>
      <c r="D23" s="4"/>
      <c r="E23" s="4"/>
      <c r="F23" s="4"/>
      <c r="G23" s="4"/>
      <c r="H23" s="4"/>
      <c r="I23" s="4"/>
      <c r="J23" s="5"/>
      <c r="K23" s="4"/>
      <c r="L23" s="4"/>
      <c r="M23" s="4"/>
      <c r="N23" s="4"/>
      <c r="O23" s="4"/>
      <c r="P23" s="4"/>
      <c r="Q23" s="4"/>
      <c r="R23" s="4"/>
      <c r="S23" s="5"/>
    </row>
    <row r="24" spans="1:19" x14ac:dyDescent="0.5">
      <c r="A24" s="3"/>
      <c r="B24" s="4"/>
      <c r="C24" s="7" t="s">
        <v>8</v>
      </c>
      <c r="D24" s="4">
        <f>C20+F20+I20</f>
        <v>4524</v>
      </c>
      <c r="E24" s="4"/>
      <c r="F24" s="4"/>
      <c r="G24" s="4"/>
      <c r="H24" s="4"/>
      <c r="I24" s="4"/>
      <c r="J24" s="5"/>
      <c r="K24" s="7" t="s">
        <v>4</v>
      </c>
      <c r="L24" s="4"/>
      <c r="M24" s="4"/>
      <c r="N24" s="4"/>
      <c r="O24" s="4"/>
      <c r="P24" s="4">
        <f>N20+Q20</f>
        <v>976</v>
      </c>
      <c r="Q24" s="4"/>
      <c r="R24" s="4"/>
      <c r="S24" s="5"/>
    </row>
    <row r="25" spans="1:19" x14ac:dyDescent="0.5">
      <c r="A25" s="3"/>
      <c r="B25" s="4"/>
      <c r="C25" s="4"/>
      <c r="D25" s="4"/>
      <c r="E25" s="4"/>
      <c r="F25" s="4"/>
      <c r="G25" s="4"/>
      <c r="H25" s="4"/>
      <c r="I25" s="4"/>
      <c r="J25" s="5"/>
      <c r="K25" s="4"/>
      <c r="L25" s="4"/>
      <c r="M25" s="4"/>
      <c r="N25" s="4"/>
      <c r="O25" s="4"/>
      <c r="P25" s="4"/>
      <c r="Q25" s="4"/>
      <c r="R25" s="4"/>
      <c r="S25" s="5"/>
    </row>
    <row r="26" spans="1:19" x14ac:dyDescent="0.5">
      <c r="A26" s="3"/>
      <c r="B26" s="4"/>
      <c r="C26" s="4"/>
      <c r="D26" s="4"/>
      <c r="E26" s="4"/>
      <c r="F26" s="4"/>
      <c r="G26" s="4"/>
      <c r="H26" s="4"/>
      <c r="I26" s="4"/>
      <c r="J26" s="5"/>
      <c r="K26" s="4"/>
      <c r="L26" s="4"/>
      <c r="M26" s="4"/>
      <c r="N26" s="4"/>
      <c r="O26" s="4"/>
      <c r="P26" s="4"/>
      <c r="Q26" s="4"/>
      <c r="R26" s="4"/>
      <c r="S26" s="5"/>
    </row>
    <row r="27" spans="1:19" x14ac:dyDescent="0.5">
      <c r="A27" s="3"/>
      <c r="B27" s="7" t="s">
        <v>74</v>
      </c>
      <c r="C27" s="4">
        <f>G4-D24</f>
        <v>-1424</v>
      </c>
      <c r="D27" s="4"/>
      <c r="E27" s="4"/>
      <c r="F27" s="4"/>
      <c r="G27" s="4"/>
      <c r="H27" s="4"/>
      <c r="I27" s="4"/>
      <c r="J27" s="5"/>
      <c r="K27" s="7" t="s">
        <v>21</v>
      </c>
      <c r="L27" s="4">
        <f>O4-P24</f>
        <v>504</v>
      </c>
      <c r="M27" s="4"/>
      <c r="N27" s="4"/>
      <c r="O27" s="4"/>
      <c r="P27" s="4"/>
      <c r="Q27" s="4"/>
      <c r="R27" s="4"/>
      <c r="S27" s="5"/>
    </row>
    <row r="28" spans="1:19" x14ac:dyDescent="0.5">
      <c r="A28" s="3"/>
      <c r="B28" s="4"/>
      <c r="C28" s="4"/>
      <c r="D28" s="4"/>
      <c r="E28" s="4"/>
      <c r="F28" s="4"/>
      <c r="G28" s="4"/>
      <c r="H28" s="4"/>
      <c r="I28" s="4"/>
      <c r="J28" s="5"/>
      <c r="K28" s="4"/>
      <c r="L28" s="4"/>
      <c r="M28" s="4"/>
      <c r="N28" s="4"/>
      <c r="O28" s="4"/>
      <c r="P28" s="4"/>
      <c r="Q28" s="4"/>
      <c r="R28" s="4"/>
      <c r="S28" s="5"/>
    </row>
    <row r="29" spans="1:19" x14ac:dyDescent="0.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x14ac:dyDescent="0.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x14ac:dyDescent="0.5">
      <c r="A32" s="2"/>
      <c r="B32" s="7" t="s">
        <v>25</v>
      </c>
      <c r="C32" s="4"/>
      <c r="D32" s="4"/>
      <c r="E32" s="4"/>
      <c r="F32" s="4"/>
      <c r="G32" s="4"/>
      <c r="H32" s="4"/>
      <c r="I32" s="4"/>
      <c r="J32" s="4">
        <f>C27+L27</f>
        <v>-920</v>
      </c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5">
      <c r="A33" s="2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60" spans="2:3" x14ac:dyDescent="0.5">
      <c r="B60" s="7" t="s">
        <v>2</v>
      </c>
      <c r="C60" s="4">
        <v>1900</v>
      </c>
    </row>
    <row r="96" spans="2:2" x14ac:dyDescent="0.5">
      <c r="B96">
        <v>3000</v>
      </c>
    </row>
    <row r="97" spans="2:16" x14ac:dyDescent="0.5">
      <c r="B97">
        <v>2500</v>
      </c>
      <c r="J97">
        <v>3000</v>
      </c>
    </row>
    <row r="98" spans="2:16" x14ac:dyDescent="0.5">
      <c r="B98">
        <v>2500</v>
      </c>
      <c r="J98">
        <v>600</v>
      </c>
    </row>
    <row r="99" spans="2:16" x14ac:dyDescent="0.5">
      <c r="B99">
        <v>800</v>
      </c>
    </row>
    <row r="100" spans="2:16" x14ac:dyDescent="0.5">
      <c r="B100">
        <v>700</v>
      </c>
    </row>
    <row r="104" spans="2:16" x14ac:dyDescent="0.5">
      <c r="B104">
        <f>SUM(B96:B100)</f>
        <v>9500</v>
      </c>
      <c r="D104">
        <f>B104-7000</f>
        <v>2500</v>
      </c>
    </row>
    <row r="105" spans="2:16" x14ac:dyDescent="0.5">
      <c r="P105">
        <v>126</v>
      </c>
    </row>
    <row r="106" spans="2:16" x14ac:dyDescent="0.5">
      <c r="P106" s="4">
        <v>12</v>
      </c>
    </row>
    <row r="107" spans="2:16" x14ac:dyDescent="0.5">
      <c r="P107" s="4">
        <v>10</v>
      </c>
    </row>
    <row r="108" spans="2:16" x14ac:dyDescent="0.5">
      <c r="P108" s="4">
        <v>20</v>
      </c>
    </row>
    <row r="109" spans="2:16" x14ac:dyDescent="0.5">
      <c r="P109" s="4">
        <v>20</v>
      </c>
    </row>
    <row r="110" spans="2:16" x14ac:dyDescent="0.5">
      <c r="P110" s="4">
        <v>20</v>
      </c>
    </row>
    <row r="111" spans="2:16" x14ac:dyDescent="0.5">
      <c r="P111" s="4">
        <v>3.99</v>
      </c>
    </row>
    <row r="112" spans="2:16" x14ac:dyDescent="0.5">
      <c r="P112" s="4">
        <v>100</v>
      </c>
    </row>
    <row r="113" spans="5:16" x14ac:dyDescent="0.5">
      <c r="E113">
        <v>1400</v>
      </c>
      <c r="P113" s="4">
        <v>75</v>
      </c>
    </row>
    <row r="114" spans="5:16" x14ac:dyDescent="0.5">
      <c r="E114">
        <v>1300</v>
      </c>
      <c r="P114" s="4">
        <v>60</v>
      </c>
    </row>
    <row r="115" spans="5:16" x14ac:dyDescent="0.5">
      <c r="E115">
        <v>950</v>
      </c>
      <c r="P115" s="4"/>
    </row>
    <row r="116" spans="5:16" x14ac:dyDescent="0.5">
      <c r="P116" s="4">
        <v>70</v>
      </c>
    </row>
    <row r="119" spans="5:16" x14ac:dyDescent="0.5">
      <c r="E119">
        <f>SUM(E113:E117)</f>
        <v>3650</v>
      </c>
    </row>
    <row r="123" spans="5:16" x14ac:dyDescent="0.5">
      <c r="P123">
        <f>SUM(P103:P120)</f>
        <v>516.99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4BA60-EBA4-4FC7-A38C-A5D075E1C354}">
  <sheetPr codeName="Feuil4"/>
  <dimension ref="A1:T123"/>
  <sheetViews>
    <sheetView topLeftCell="A19" workbookViewId="0">
      <selection activeCell="C13" sqref="C13"/>
    </sheetView>
  </sheetViews>
  <sheetFormatPr baseColWidth="10" defaultRowHeight="15.75" x14ac:dyDescent="0.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0" x14ac:dyDescent="0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x14ac:dyDescent="0.5">
      <c r="A3" s="3"/>
      <c r="B3" s="2"/>
      <c r="C3" s="4"/>
      <c r="D3" s="4"/>
      <c r="E3" s="4"/>
      <c r="F3" s="4"/>
      <c r="G3" s="4"/>
      <c r="H3" s="4" t="s">
        <v>59</v>
      </c>
      <c r="I3" s="4" t="s">
        <v>60</v>
      </c>
      <c r="J3" s="5"/>
      <c r="K3" s="4"/>
      <c r="L3" s="4"/>
      <c r="M3" s="4"/>
      <c r="N3" s="4"/>
      <c r="O3" s="4"/>
      <c r="P3" s="4"/>
      <c r="Q3" s="4"/>
      <c r="R3" s="4"/>
      <c r="S3" s="5"/>
    </row>
    <row r="4" spans="1:20" x14ac:dyDescent="0.5">
      <c r="A4" s="3"/>
      <c r="B4" s="2"/>
      <c r="C4" s="4"/>
      <c r="D4" s="4"/>
      <c r="E4" s="6" t="s">
        <v>19</v>
      </c>
      <c r="F4" s="7" t="s">
        <v>5</v>
      </c>
      <c r="G4" s="4">
        <f>H4+I4</f>
        <v>3100</v>
      </c>
      <c r="H4" s="4">
        <v>1900</v>
      </c>
      <c r="I4" s="4">
        <v>1200</v>
      </c>
      <c r="J4" s="5"/>
      <c r="K4" s="4"/>
      <c r="L4" s="4"/>
      <c r="M4" s="6" t="s">
        <v>20</v>
      </c>
      <c r="N4" s="7" t="s">
        <v>5</v>
      </c>
      <c r="O4" s="4">
        <v>1480</v>
      </c>
      <c r="P4" s="4"/>
      <c r="Q4" s="4"/>
      <c r="R4" s="4"/>
      <c r="S4" s="5"/>
    </row>
    <row r="5" spans="1:20" x14ac:dyDescent="0.5">
      <c r="A5" s="3"/>
      <c r="B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5"/>
    </row>
    <row r="6" spans="1:20" x14ac:dyDescent="0.5">
      <c r="A6" s="3"/>
      <c r="B6" s="2"/>
      <c r="C6" s="7" t="s">
        <v>16</v>
      </c>
      <c r="D6" s="8"/>
      <c r="E6" s="7" t="s">
        <v>17</v>
      </c>
      <c r="F6" s="8"/>
      <c r="G6" s="7"/>
      <c r="H6" s="7" t="s">
        <v>18</v>
      </c>
      <c r="I6" s="7"/>
      <c r="J6" s="5"/>
      <c r="K6" s="7" t="s">
        <v>16</v>
      </c>
      <c r="L6" s="8"/>
      <c r="M6" s="7" t="s">
        <v>17</v>
      </c>
      <c r="N6" s="8"/>
      <c r="O6" s="7"/>
      <c r="P6" s="7" t="s">
        <v>18</v>
      </c>
      <c r="Q6" s="7"/>
      <c r="R6" s="4"/>
      <c r="S6" s="5"/>
    </row>
    <row r="7" spans="1:20" x14ac:dyDescent="0.5">
      <c r="A7" s="3"/>
      <c r="B7" s="2" t="s">
        <v>46</v>
      </c>
      <c r="C7" s="4">
        <v>1400</v>
      </c>
      <c r="D7" s="4"/>
      <c r="E7" s="2" t="s">
        <v>0</v>
      </c>
      <c r="F7" s="4">
        <v>882</v>
      </c>
      <c r="G7" s="4"/>
      <c r="H7" s="2"/>
      <c r="I7" s="4"/>
      <c r="J7" s="5"/>
      <c r="K7" s="4"/>
      <c r="L7" s="4"/>
      <c r="M7" s="2" t="s">
        <v>26</v>
      </c>
      <c r="N7" s="4">
        <v>150</v>
      </c>
      <c r="O7" s="4"/>
      <c r="P7" s="2"/>
      <c r="Q7" s="4"/>
      <c r="R7" s="4"/>
      <c r="S7" s="5"/>
    </row>
    <row r="8" spans="1:20" x14ac:dyDescent="0.5">
      <c r="A8" s="3"/>
      <c r="B8" s="2" t="s">
        <v>55</v>
      </c>
      <c r="C8" s="4" t="s">
        <v>63</v>
      </c>
      <c r="D8" s="4"/>
      <c r="E8" s="2" t="s">
        <v>10</v>
      </c>
      <c r="F8" s="4">
        <v>72</v>
      </c>
      <c r="G8" s="4"/>
      <c r="H8" s="2"/>
      <c r="I8" s="4"/>
      <c r="J8" s="5"/>
      <c r="K8" s="4"/>
      <c r="L8" s="4"/>
      <c r="M8" s="2" t="s">
        <v>49</v>
      </c>
      <c r="N8" s="4">
        <v>200</v>
      </c>
      <c r="O8" s="4"/>
      <c r="P8" s="2"/>
      <c r="Q8" s="4"/>
      <c r="R8" s="4"/>
      <c r="S8" s="5"/>
      <c r="T8">
        <v>50</v>
      </c>
    </row>
    <row r="9" spans="1:20" x14ac:dyDescent="0.5">
      <c r="A9" s="3"/>
      <c r="B9" s="2" t="s">
        <v>28</v>
      </c>
      <c r="C9" s="4">
        <v>150</v>
      </c>
      <c r="D9" s="4"/>
      <c r="E9" s="2" t="s">
        <v>47</v>
      </c>
      <c r="F9" s="4">
        <v>300</v>
      </c>
      <c r="G9" s="4"/>
      <c r="H9" s="2"/>
      <c r="I9" s="4"/>
      <c r="J9" s="5"/>
      <c r="K9" s="4"/>
      <c r="L9" s="4"/>
      <c r="M9" s="2" t="s">
        <v>50</v>
      </c>
      <c r="N9" s="4">
        <v>200</v>
      </c>
      <c r="O9" s="4"/>
      <c r="P9" s="2"/>
      <c r="Q9" s="4"/>
      <c r="R9" s="4"/>
      <c r="S9" s="5"/>
      <c r="T9">
        <v>200</v>
      </c>
    </row>
    <row r="10" spans="1:20" x14ac:dyDescent="0.5">
      <c r="A10" s="3"/>
      <c r="B10" s="2" t="s">
        <v>62</v>
      </c>
      <c r="C10" s="4"/>
      <c r="D10" s="4"/>
      <c r="E10" s="2" t="s">
        <v>3</v>
      </c>
      <c r="F10" s="4">
        <v>283</v>
      </c>
      <c r="G10" s="4"/>
      <c r="H10" s="2"/>
      <c r="I10" s="4"/>
      <c r="J10" s="5"/>
      <c r="K10" s="4"/>
      <c r="L10" s="4"/>
      <c r="M10" s="2" t="s">
        <v>51</v>
      </c>
      <c r="N10" s="4">
        <v>300</v>
      </c>
      <c r="O10" s="4"/>
      <c r="P10" s="2"/>
      <c r="Q10" s="4"/>
      <c r="R10" s="4"/>
      <c r="S10" s="5"/>
      <c r="T10">
        <v>150</v>
      </c>
    </row>
    <row r="11" spans="1:20" x14ac:dyDescent="0.5">
      <c r="A11" s="3"/>
      <c r="B11" s="2" t="s">
        <v>79</v>
      </c>
      <c r="C11" s="4">
        <v>-500</v>
      </c>
      <c r="D11" s="4"/>
      <c r="E11" s="2" t="s">
        <v>1</v>
      </c>
      <c r="F11" s="4">
        <v>50</v>
      </c>
      <c r="G11" s="4"/>
      <c r="J11" s="5"/>
      <c r="K11" s="4"/>
      <c r="L11" s="4"/>
      <c r="M11" s="2" t="s">
        <v>52</v>
      </c>
      <c r="N11" s="4">
        <v>100</v>
      </c>
      <c r="O11" s="4"/>
      <c r="P11" s="2"/>
      <c r="Q11" s="4"/>
      <c r="R11" s="4"/>
      <c r="S11" s="5"/>
      <c r="T11">
        <v>160</v>
      </c>
    </row>
    <row r="12" spans="1:20" x14ac:dyDescent="0.5">
      <c r="A12" s="3"/>
      <c r="B12" s="2" t="s">
        <v>85</v>
      </c>
      <c r="C12" s="4">
        <v>100</v>
      </c>
      <c r="D12" s="4"/>
      <c r="E12" s="2" t="s">
        <v>9</v>
      </c>
      <c r="F12" s="4">
        <v>300</v>
      </c>
      <c r="G12" s="4"/>
      <c r="J12" s="5"/>
      <c r="K12" s="4"/>
      <c r="L12" s="4"/>
      <c r="M12" s="2" t="s">
        <v>53</v>
      </c>
      <c r="N12" s="4">
        <v>13</v>
      </c>
      <c r="O12" s="4"/>
      <c r="P12" s="2"/>
      <c r="Q12" s="4"/>
      <c r="R12" s="4"/>
      <c r="S12" s="5"/>
    </row>
    <row r="13" spans="1:20" x14ac:dyDescent="0.5">
      <c r="A13" s="3"/>
      <c r="B13" s="2" t="s">
        <v>86</v>
      </c>
      <c r="C13" s="4">
        <v>120</v>
      </c>
      <c r="D13" s="4"/>
      <c r="E13" s="2" t="s">
        <v>13</v>
      </c>
      <c r="F13" s="4">
        <v>12</v>
      </c>
      <c r="G13" s="4"/>
      <c r="J13" s="5"/>
      <c r="K13" s="4"/>
      <c r="L13" s="4"/>
      <c r="M13" s="2" t="s">
        <v>54</v>
      </c>
      <c r="N13" s="4">
        <v>13</v>
      </c>
      <c r="O13" s="4"/>
      <c r="P13" s="2"/>
      <c r="Q13" s="4"/>
      <c r="R13" s="4"/>
      <c r="S13" s="5"/>
    </row>
    <row r="14" spans="1:20" x14ac:dyDescent="0.5">
      <c r="A14" s="3"/>
      <c r="B14" s="2"/>
      <c r="C14" s="4"/>
      <c r="D14" s="4"/>
      <c r="E14" s="2" t="s">
        <v>14</v>
      </c>
      <c r="F14" s="4">
        <v>13</v>
      </c>
      <c r="G14" s="4"/>
      <c r="J14" s="5"/>
      <c r="K14" s="4"/>
      <c r="L14" s="4"/>
      <c r="M14" s="2"/>
      <c r="N14" s="4"/>
      <c r="O14" s="4"/>
      <c r="P14" s="2"/>
      <c r="Q14" s="4"/>
      <c r="R14" s="4"/>
      <c r="S14" s="5"/>
      <c r="T14">
        <f>SUM(T8:T11)</f>
        <v>560</v>
      </c>
    </row>
    <row r="15" spans="1:20" x14ac:dyDescent="0.5">
      <c r="A15" s="3"/>
      <c r="B15" s="2"/>
      <c r="C15" s="4"/>
      <c r="D15" s="4"/>
      <c r="E15" s="2" t="s">
        <v>48</v>
      </c>
      <c r="F15" s="4"/>
      <c r="G15" s="4"/>
      <c r="H15" s="2"/>
      <c r="I15" s="4"/>
      <c r="J15" s="5"/>
      <c r="K15" s="4"/>
      <c r="L15" s="4"/>
      <c r="M15" s="2"/>
      <c r="N15" s="4"/>
      <c r="O15" s="4"/>
      <c r="P15" s="2"/>
      <c r="Q15" s="4"/>
      <c r="R15" s="4"/>
      <c r="S15" s="5"/>
    </row>
    <row r="16" spans="1:20" x14ac:dyDescent="0.5">
      <c r="A16" s="3"/>
      <c r="B16" s="2"/>
      <c r="C16" s="4"/>
      <c r="D16" s="4"/>
      <c r="E16" s="2" t="s">
        <v>56</v>
      </c>
      <c r="F16" s="4">
        <v>100</v>
      </c>
      <c r="G16" s="4"/>
      <c r="H16" s="4"/>
      <c r="I16" s="4"/>
      <c r="J16" s="5"/>
      <c r="K16" s="4"/>
      <c r="L16" s="4"/>
      <c r="M16" s="2"/>
      <c r="N16" s="4"/>
      <c r="O16" s="4"/>
      <c r="P16" s="4"/>
      <c r="Q16" s="4"/>
      <c r="R16" s="4"/>
      <c r="S16" s="5"/>
    </row>
    <row r="17" spans="1:19" x14ac:dyDescent="0.5">
      <c r="A17" s="3"/>
      <c r="B17" s="2"/>
      <c r="C17" s="4"/>
      <c r="D17" s="4"/>
      <c r="E17" s="2" t="s">
        <v>11</v>
      </c>
      <c r="F17" s="4">
        <v>90</v>
      </c>
      <c r="G17" s="4"/>
      <c r="H17" s="4"/>
      <c r="I17" s="4"/>
      <c r="J17" s="5"/>
      <c r="K17" s="4"/>
      <c r="L17" s="4"/>
      <c r="M17" s="2"/>
      <c r="N17" s="4"/>
      <c r="O17" s="4"/>
      <c r="P17" s="4"/>
      <c r="Q17" s="4"/>
      <c r="R17" s="4"/>
      <c r="S17" s="5"/>
    </row>
    <row r="18" spans="1:19" x14ac:dyDescent="0.5">
      <c r="A18" s="3"/>
      <c r="B18" s="4"/>
      <c r="C18" s="4"/>
      <c r="D18" s="4"/>
      <c r="E18" s="2"/>
      <c r="F18" s="4"/>
      <c r="G18" s="4"/>
      <c r="H18" s="4"/>
      <c r="I18" s="4"/>
      <c r="J18" s="5"/>
      <c r="K18" s="4"/>
      <c r="L18" s="4"/>
      <c r="M18" s="4"/>
      <c r="N18" s="4"/>
      <c r="O18" s="4"/>
      <c r="P18" s="4"/>
      <c r="Q18" s="4"/>
      <c r="R18" s="4"/>
      <c r="S18" s="5"/>
    </row>
    <row r="19" spans="1:19" x14ac:dyDescent="0.5">
      <c r="A19" s="3"/>
      <c r="B19" s="4"/>
      <c r="C19" s="4"/>
      <c r="D19" s="4"/>
      <c r="E19" s="4"/>
      <c r="F19" s="4"/>
      <c r="G19" s="4"/>
      <c r="H19" s="4"/>
      <c r="I19" s="4"/>
      <c r="J19" s="5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5">
      <c r="A20" s="3"/>
      <c r="B20" s="7" t="s">
        <v>4</v>
      </c>
      <c r="C20" s="4">
        <f>SUM(C7:C18)</f>
        <v>1270</v>
      </c>
      <c r="D20" s="4"/>
      <c r="E20" s="4"/>
      <c r="F20" s="4">
        <f>SUM(F7:F18)+100</f>
        <v>2202</v>
      </c>
      <c r="G20" s="4"/>
      <c r="H20" s="4"/>
      <c r="I20" s="4">
        <f>SUM(I7:I18)</f>
        <v>0</v>
      </c>
      <c r="J20" s="5"/>
      <c r="K20" s="4"/>
      <c r="L20" s="4"/>
      <c r="M20" s="4"/>
      <c r="N20" s="4">
        <f>SUM(N7:N18)</f>
        <v>976</v>
      </c>
      <c r="O20" s="4"/>
      <c r="P20" s="4"/>
      <c r="Q20" s="4">
        <f>SUM(Q7:Q17)</f>
        <v>0</v>
      </c>
      <c r="R20" s="4"/>
      <c r="S20" s="5"/>
    </row>
    <row r="21" spans="1:19" x14ac:dyDescent="0.5">
      <c r="A21" s="3"/>
      <c r="B21" s="4"/>
      <c r="C21" s="4"/>
      <c r="D21" s="4"/>
      <c r="E21" s="4"/>
      <c r="F21" s="4"/>
      <c r="G21" s="4"/>
      <c r="H21" s="4"/>
      <c r="I21" s="4"/>
      <c r="J21" s="5"/>
      <c r="K21" s="4"/>
      <c r="L21" s="4"/>
      <c r="M21" s="4"/>
      <c r="N21" s="4"/>
      <c r="O21" s="4"/>
      <c r="P21" s="4"/>
      <c r="Q21" s="4"/>
      <c r="R21" s="4"/>
      <c r="S21" s="5"/>
    </row>
    <row r="22" spans="1:19" x14ac:dyDescent="0.5">
      <c r="A22" s="3"/>
      <c r="B22" s="4"/>
      <c r="C22" s="4"/>
      <c r="D22" s="4"/>
      <c r="E22" s="4"/>
      <c r="F22" s="4"/>
      <c r="G22" s="4"/>
      <c r="H22" s="4"/>
      <c r="I22" s="4"/>
      <c r="J22" s="5"/>
      <c r="K22" s="4"/>
      <c r="L22" s="4"/>
      <c r="M22" s="4"/>
      <c r="N22" s="4"/>
      <c r="O22" s="4"/>
      <c r="P22" s="4"/>
      <c r="Q22" s="4"/>
      <c r="R22" s="4"/>
      <c r="S22" s="5"/>
    </row>
    <row r="23" spans="1:19" x14ac:dyDescent="0.5">
      <c r="A23" s="3"/>
      <c r="B23" s="4"/>
      <c r="C23" s="4"/>
      <c r="D23" s="4"/>
      <c r="E23" s="4"/>
      <c r="F23" s="4"/>
      <c r="G23" s="4"/>
      <c r="H23" s="4"/>
      <c r="I23" s="4"/>
      <c r="J23" s="5"/>
      <c r="K23" s="4"/>
      <c r="L23" s="4"/>
      <c r="M23" s="4"/>
      <c r="N23" s="4"/>
      <c r="O23" s="4"/>
      <c r="P23" s="4"/>
      <c r="Q23" s="4"/>
      <c r="R23" s="4"/>
      <c r="S23" s="5"/>
    </row>
    <row r="24" spans="1:19" x14ac:dyDescent="0.5">
      <c r="A24" s="3"/>
      <c r="B24" s="4"/>
      <c r="C24" s="7" t="s">
        <v>8</v>
      </c>
      <c r="D24" s="4">
        <f>C20+F20+I20</f>
        <v>3472</v>
      </c>
      <c r="E24" s="4"/>
      <c r="F24" s="4"/>
      <c r="G24" s="4"/>
      <c r="H24" s="4"/>
      <c r="I24" s="4"/>
      <c r="J24" s="5"/>
      <c r="K24" s="7" t="s">
        <v>4</v>
      </c>
      <c r="L24" s="4"/>
      <c r="M24" s="4"/>
      <c r="N24" s="4"/>
      <c r="O24" s="4"/>
      <c r="P24" s="4">
        <f>N20+Q20</f>
        <v>976</v>
      </c>
      <c r="Q24" s="4"/>
      <c r="R24" s="4"/>
      <c r="S24" s="5"/>
    </row>
    <row r="25" spans="1:19" x14ac:dyDescent="0.5">
      <c r="A25" s="3"/>
      <c r="B25" s="4"/>
      <c r="C25" s="4"/>
      <c r="D25" s="4"/>
      <c r="E25" s="4"/>
      <c r="F25" s="4"/>
      <c r="G25" s="4"/>
      <c r="H25" s="4"/>
      <c r="I25" s="4"/>
      <c r="J25" s="5"/>
      <c r="K25" s="4"/>
      <c r="L25" s="4"/>
      <c r="M25" s="4"/>
      <c r="N25" s="4"/>
      <c r="O25" s="4"/>
      <c r="P25" s="4"/>
      <c r="Q25" s="4"/>
      <c r="R25" s="4"/>
      <c r="S25" s="5"/>
    </row>
    <row r="26" spans="1:19" x14ac:dyDescent="0.5">
      <c r="A26" s="3"/>
      <c r="B26" s="4"/>
      <c r="C26" s="4"/>
      <c r="D26" s="4"/>
      <c r="E26" s="4"/>
      <c r="F26" s="4"/>
      <c r="G26" s="4"/>
      <c r="H26" s="4"/>
      <c r="I26" s="4"/>
      <c r="J26" s="5"/>
      <c r="K26" s="4"/>
      <c r="L26" s="4"/>
      <c r="M26" s="4"/>
      <c r="N26" s="4"/>
      <c r="O26" s="4"/>
      <c r="P26" s="4"/>
      <c r="Q26" s="4"/>
      <c r="R26" s="4"/>
      <c r="S26" s="5"/>
    </row>
    <row r="27" spans="1:19" x14ac:dyDescent="0.5">
      <c r="A27" s="3"/>
      <c r="B27" s="7" t="s">
        <v>74</v>
      </c>
      <c r="C27" s="4">
        <f>G4-D24</f>
        <v>-372</v>
      </c>
      <c r="D27" s="4"/>
      <c r="E27" s="4"/>
      <c r="F27" s="4"/>
      <c r="G27" s="4"/>
      <c r="H27" s="4"/>
      <c r="I27" s="4"/>
      <c r="J27" s="5"/>
      <c r="K27" s="7" t="s">
        <v>21</v>
      </c>
      <c r="L27" s="4">
        <f>O4-P24</f>
        <v>504</v>
      </c>
      <c r="M27" s="4"/>
      <c r="N27" s="4"/>
      <c r="O27" s="4"/>
      <c r="P27" s="4"/>
      <c r="Q27" s="4"/>
      <c r="R27" s="4"/>
      <c r="S27" s="5"/>
    </row>
    <row r="28" spans="1:19" x14ac:dyDescent="0.5">
      <c r="A28" s="3"/>
      <c r="B28" s="4"/>
      <c r="C28" s="4"/>
      <c r="D28" s="4"/>
      <c r="E28" s="4"/>
      <c r="F28" s="4"/>
      <c r="G28" s="4"/>
      <c r="H28" s="4"/>
      <c r="I28" s="4"/>
      <c r="J28" s="5"/>
      <c r="K28" s="4"/>
      <c r="L28" s="4"/>
      <c r="M28" s="4"/>
      <c r="N28" s="4"/>
      <c r="O28" s="4"/>
      <c r="P28" s="4"/>
      <c r="Q28" s="4"/>
      <c r="R28" s="4"/>
      <c r="S28" s="5"/>
    </row>
    <row r="29" spans="1:19" x14ac:dyDescent="0.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x14ac:dyDescent="0.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x14ac:dyDescent="0.5">
      <c r="A32" s="2"/>
      <c r="B32" s="7" t="s">
        <v>25</v>
      </c>
      <c r="C32" s="4"/>
      <c r="D32" s="4"/>
      <c r="E32" s="4"/>
      <c r="F32" s="4"/>
      <c r="G32" s="4"/>
      <c r="H32" s="4"/>
      <c r="I32" s="4"/>
      <c r="J32" s="4">
        <f>C27+L27</f>
        <v>132</v>
      </c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5">
      <c r="A33" s="2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60" spans="2:3" x14ac:dyDescent="0.5">
      <c r="B60" s="7" t="s">
        <v>2</v>
      </c>
      <c r="C60" s="4">
        <v>1900</v>
      </c>
    </row>
    <row r="96" spans="2:2" x14ac:dyDescent="0.5">
      <c r="B96">
        <v>3000</v>
      </c>
    </row>
    <row r="97" spans="2:16" x14ac:dyDescent="0.5">
      <c r="B97">
        <v>2500</v>
      </c>
      <c r="J97">
        <v>3000</v>
      </c>
    </row>
    <row r="98" spans="2:16" x14ac:dyDescent="0.5">
      <c r="B98">
        <v>2500</v>
      </c>
      <c r="J98">
        <v>600</v>
      </c>
    </row>
    <row r="99" spans="2:16" x14ac:dyDescent="0.5">
      <c r="B99">
        <v>800</v>
      </c>
    </row>
    <row r="100" spans="2:16" x14ac:dyDescent="0.5">
      <c r="B100">
        <v>700</v>
      </c>
    </row>
    <row r="104" spans="2:16" x14ac:dyDescent="0.5">
      <c r="B104">
        <f>SUM(B96:B100)</f>
        <v>9500</v>
      </c>
      <c r="D104">
        <f>B104-7000</f>
        <v>2500</v>
      </c>
    </row>
    <row r="105" spans="2:16" x14ac:dyDescent="0.5">
      <c r="P105">
        <v>126</v>
      </c>
    </row>
    <row r="106" spans="2:16" x14ac:dyDescent="0.5">
      <c r="P106" s="4">
        <v>12</v>
      </c>
    </row>
    <row r="107" spans="2:16" x14ac:dyDescent="0.5">
      <c r="P107" s="4">
        <v>10</v>
      </c>
    </row>
    <row r="108" spans="2:16" x14ac:dyDescent="0.5">
      <c r="P108" s="4">
        <v>20</v>
      </c>
    </row>
    <row r="109" spans="2:16" x14ac:dyDescent="0.5">
      <c r="P109" s="4">
        <v>20</v>
      </c>
    </row>
    <row r="110" spans="2:16" x14ac:dyDescent="0.5">
      <c r="P110" s="4">
        <v>20</v>
      </c>
    </row>
    <row r="111" spans="2:16" x14ac:dyDescent="0.5">
      <c r="P111" s="4">
        <v>3.99</v>
      </c>
    </row>
    <row r="112" spans="2:16" x14ac:dyDescent="0.5">
      <c r="P112" s="4">
        <v>100</v>
      </c>
    </row>
    <row r="113" spans="5:16" x14ac:dyDescent="0.5">
      <c r="E113">
        <v>1400</v>
      </c>
      <c r="P113" s="4">
        <v>75</v>
      </c>
    </row>
    <row r="114" spans="5:16" x14ac:dyDescent="0.5">
      <c r="E114">
        <v>1300</v>
      </c>
      <c r="P114" s="4">
        <v>60</v>
      </c>
    </row>
    <row r="115" spans="5:16" x14ac:dyDescent="0.5">
      <c r="E115">
        <v>950</v>
      </c>
      <c r="P115" s="4"/>
    </row>
    <row r="116" spans="5:16" x14ac:dyDescent="0.5">
      <c r="P116" s="4">
        <v>70</v>
      </c>
    </row>
    <row r="119" spans="5:16" x14ac:dyDescent="0.5">
      <c r="E119">
        <f>SUM(E113:E117)</f>
        <v>3650</v>
      </c>
    </row>
    <row r="123" spans="5:16" x14ac:dyDescent="0.5">
      <c r="P123">
        <f>SUM(P103:P120)</f>
        <v>516.99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5CB3-126C-4293-8B88-AAD682FCCD60}">
  <sheetPr codeName="Feuil5"/>
  <dimension ref="A1:T123"/>
  <sheetViews>
    <sheetView workbookViewId="0">
      <selection sqref="A1:XFD1048576"/>
    </sheetView>
  </sheetViews>
  <sheetFormatPr baseColWidth="10" defaultRowHeight="15.75" x14ac:dyDescent="0.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0" x14ac:dyDescent="0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x14ac:dyDescent="0.5">
      <c r="A3" s="3"/>
      <c r="B3" s="2"/>
      <c r="C3" s="4"/>
      <c r="D3" s="4"/>
      <c r="E3" s="4"/>
      <c r="F3" s="4"/>
      <c r="G3" s="4"/>
      <c r="H3" s="4" t="s">
        <v>59</v>
      </c>
      <c r="I3" s="4" t="s">
        <v>60</v>
      </c>
      <c r="J3" s="5"/>
      <c r="K3" s="4"/>
      <c r="L3" s="4"/>
      <c r="M3" s="4"/>
      <c r="N3" s="4"/>
      <c r="O3" s="4"/>
      <c r="P3" s="4"/>
      <c r="Q3" s="4"/>
      <c r="R3" s="4"/>
      <c r="S3" s="5"/>
    </row>
    <row r="4" spans="1:20" x14ac:dyDescent="0.5">
      <c r="A4" s="3"/>
      <c r="B4" s="2"/>
      <c r="C4" s="4"/>
      <c r="D4" s="4"/>
      <c r="E4" s="6" t="s">
        <v>19</v>
      </c>
      <c r="F4" s="7" t="s">
        <v>5</v>
      </c>
      <c r="G4" s="4">
        <f>H4+I4</f>
        <v>3100</v>
      </c>
      <c r="H4" s="4">
        <v>1900</v>
      </c>
      <c r="I4" s="4">
        <v>1200</v>
      </c>
      <c r="J4" s="5"/>
      <c r="K4" s="4"/>
      <c r="L4" s="4"/>
      <c r="M4" s="6" t="s">
        <v>20</v>
      </c>
      <c r="N4" s="7" t="s">
        <v>5</v>
      </c>
      <c r="O4" s="4">
        <v>1480</v>
      </c>
      <c r="P4" s="4"/>
      <c r="Q4" s="4"/>
      <c r="R4" s="4"/>
      <c r="S4" s="5"/>
    </row>
    <row r="5" spans="1:20" x14ac:dyDescent="0.5">
      <c r="A5" s="3"/>
      <c r="B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5"/>
    </row>
    <row r="6" spans="1:20" x14ac:dyDescent="0.5">
      <c r="A6" s="3"/>
      <c r="B6" s="2"/>
      <c r="C6" s="7" t="s">
        <v>16</v>
      </c>
      <c r="D6" s="8"/>
      <c r="E6" s="7" t="s">
        <v>17</v>
      </c>
      <c r="F6" s="8"/>
      <c r="G6" s="7"/>
      <c r="H6" s="7" t="s">
        <v>18</v>
      </c>
      <c r="I6" s="7"/>
      <c r="J6" s="5"/>
      <c r="K6" s="7" t="s">
        <v>16</v>
      </c>
      <c r="L6" s="8"/>
      <c r="M6" s="7" t="s">
        <v>17</v>
      </c>
      <c r="N6" s="8"/>
      <c r="O6" s="7"/>
      <c r="P6" s="7" t="s">
        <v>18</v>
      </c>
      <c r="Q6" s="7"/>
      <c r="R6" s="4"/>
      <c r="S6" s="5"/>
    </row>
    <row r="7" spans="1:20" x14ac:dyDescent="0.5">
      <c r="A7" s="3"/>
      <c r="B7" s="2" t="s">
        <v>46</v>
      </c>
      <c r="C7" s="4">
        <v>380</v>
      </c>
      <c r="D7" s="4"/>
      <c r="E7" s="2" t="s">
        <v>0</v>
      </c>
      <c r="F7" s="4">
        <v>882</v>
      </c>
      <c r="G7" s="4"/>
      <c r="H7" s="2"/>
      <c r="I7" s="4"/>
      <c r="J7" s="5"/>
      <c r="K7" s="4"/>
      <c r="L7" s="4"/>
      <c r="M7" s="2" t="s">
        <v>26</v>
      </c>
      <c r="N7" s="4">
        <v>150</v>
      </c>
      <c r="O7" s="4"/>
      <c r="P7" s="2"/>
      <c r="Q7" s="4"/>
      <c r="R7" s="4"/>
      <c r="S7" s="5"/>
    </row>
    <row r="8" spans="1:20" x14ac:dyDescent="0.5">
      <c r="A8" s="3"/>
      <c r="B8" s="2" t="s">
        <v>55</v>
      </c>
      <c r="C8" s="4" t="s">
        <v>63</v>
      </c>
      <c r="D8" s="4"/>
      <c r="E8" s="2" t="s">
        <v>10</v>
      </c>
      <c r="F8" s="4">
        <v>72</v>
      </c>
      <c r="G8" s="4"/>
      <c r="H8" s="2"/>
      <c r="I8" s="4"/>
      <c r="J8" s="5"/>
      <c r="K8" s="4"/>
      <c r="L8" s="4"/>
      <c r="M8" s="2" t="s">
        <v>49</v>
      </c>
      <c r="N8" s="4">
        <v>200</v>
      </c>
      <c r="O8" s="4"/>
      <c r="P8" s="2"/>
      <c r="Q8" s="4"/>
      <c r="R8" s="4"/>
      <c r="S8" s="5"/>
      <c r="T8">
        <v>50</v>
      </c>
    </row>
    <row r="9" spans="1:20" x14ac:dyDescent="0.5">
      <c r="A9" s="3"/>
      <c r="B9" s="2" t="s">
        <v>28</v>
      </c>
      <c r="C9" s="4">
        <v>200</v>
      </c>
      <c r="D9" s="4"/>
      <c r="E9" s="2" t="s">
        <v>47</v>
      </c>
      <c r="F9" s="4">
        <v>300</v>
      </c>
      <c r="G9" s="4"/>
      <c r="H9" s="2"/>
      <c r="I9" s="4"/>
      <c r="J9" s="5"/>
      <c r="K9" s="4"/>
      <c r="L9" s="4"/>
      <c r="M9" s="2" t="s">
        <v>50</v>
      </c>
      <c r="N9" s="4">
        <v>200</v>
      </c>
      <c r="O9" s="4"/>
      <c r="P9" s="2"/>
      <c r="Q9" s="4"/>
      <c r="R9" s="4"/>
      <c r="S9" s="5"/>
      <c r="T9">
        <v>200</v>
      </c>
    </row>
    <row r="10" spans="1:20" x14ac:dyDescent="0.5">
      <c r="A10" s="3"/>
      <c r="B10" s="2" t="s">
        <v>62</v>
      </c>
      <c r="C10" s="4"/>
      <c r="D10" s="4"/>
      <c r="E10" s="2" t="s">
        <v>3</v>
      </c>
      <c r="F10" s="4">
        <v>283</v>
      </c>
      <c r="G10" s="4"/>
      <c r="H10" s="2"/>
      <c r="I10" s="4"/>
      <c r="J10" s="5"/>
      <c r="K10" s="4"/>
      <c r="L10" s="4"/>
      <c r="M10" s="2" t="s">
        <v>51</v>
      </c>
      <c r="N10" s="4">
        <v>300</v>
      </c>
      <c r="O10" s="4"/>
      <c r="P10" s="2"/>
      <c r="Q10" s="4"/>
      <c r="R10" s="4"/>
      <c r="S10" s="5"/>
      <c r="T10">
        <v>150</v>
      </c>
    </row>
    <row r="11" spans="1:20" x14ac:dyDescent="0.5">
      <c r="A11" s="3"/>
      <c r="B11" s="2" t="s">
        <v>79</v>
      </c>
      <c r="C11" s="4"/>
      <c r="D11" s="4"/>
      <c r="E11" s="2" t="s">
        <v>1</v>
      </c>
      <c r="F11" s="4">
        <v>50</v>
      </c>
      <c r="G11" s="4"/>
      <c r="J11" s="5"/>
      <c r="K11" s="4"/>
      <c r="L11" s="4"/>
      <c r="M11" s="2" t="s">
        <v>52</v>
      </c>
      <c r="N11" s="4">
        <v>100</v>
      </c>
      <c r="O11" s="4"/>
      <c r="P11" s="2"/>
      <c r="Q11" s="4"/>
      <c r="R11" s="4"/>
      <c r="S11" s="5"/>
      <c r="T11">
        <v>160</v>
      </c>
    </row>
    <row r="12" spans="1:20" x14ac:dyDescent="0.5">
      <c r="A12" s="3"/>
      <c r="B12" s="2" t="s">
        <v>85</v>
      </c>
      <c r="C12" s="4"/>
      <c r="D12" s="4"/>
      <c r="E12" s="2" t="s">
        <v>9</v>
      </c>
      <c r="F12" s="4">
        <v>300</v>
      </c>
      <c r="G12" s="4"/>
      <c r="J12" s="5"/>
      <c r="K12" s="4"/>
      <c r="L12" s="4"/>
      <c r="M12" s="2" t="s">
        <v>53</v>
      </c>
      <c r="N12" s="4">
        <v>13</v>
      </c>
      <c r="O12" s="4"/>
      <c r="P12" s="2"/>
      <c r="Q12" s="4"/>
      <c r="R12" s="4"/>
      <c r="S12" s="5"/>
    </row>
    <row r="13" spans="1:20" x14ac:dyDescent="0.5">
      <c r="A13" s="3"/>
      <c r="B13" s="2" t="s">
        <v>86</v>
      </c>
      <c r="C13" s="4"/>
      <c r="D13" s="4"/>
      <c r="E13" s="2" t="s">
        <v>13</v>
      </c>
      <c r="F13" s="4">
        <v>12</v>
      </c>
      <c r="G13" s="4"/>
      <c r="J13" s="5"/>
      <c r="K13" s="4"/>
      <c r="L13" s="4"/>
      <c r="M13" s="2" t="s">
        <v>54</v>
      </c>
      <c r="N13" s="4">
        <v>13</v>
      </c>
      <c r="O13" s="4"/>
      <c r="P13" s="2"/>
      <c r="Q13" s="4"/>
      <c r="R13" s="4"/>
      <c r="S13" s="5"/>
    </row>
    <row r="14" spans="1:20" x14ac:dyDescent="0.5">
      <c r="A14" s="3"/>
      <c r="B14" s="2"/>
      <c r="C14" s="4"/>
      <c r="D14" s="4"/>
      <c r="E14" s="2" t="s">
        <v>14</v>
      </c>
      <c r="F14" s="4">
        <v>13</v>
      </c>
      <c r="G14" s="4"/>
      <c r="J14" s="5"/>
      <c r="K14" s="4"/>
      <c r="L14" s="4"/>
      <c r="M14" s="2"/>
      <c r="N14" s="4"/>
      <c r="O14" s="4"/>
      <c r="P14" s="2"/>
      <c r="Q14" s="4"/>
      <c r="R14" s="4"/>
      <c r="S14" s="5"/>
      <c r="T14">
        <f>SUM(T8:T11)</f>
        <v>560</v>
      </c>
    </row>
    <row r="15" spans="1:20" x14ac:dyDescent="0.5">
      <c r="A15" s="3"/>
      <c r="B15" s="2"/>
      <c r="C15" s="4"/>
      <c r="D15" s="4"/>
      <c r="E15" s="2" t="s">
        <v>48</v>
      </c>
      <c r="F15" s="4"/>
      <c r="G15" s="4"/>
      <c r="H15" s="2"/>
      <c r="I15" s="4"/>
      <c r="J15" s="5"/>
      <c r="K15" s="4"/>
      <c r="L15" s="4"/>
      <c r="M15" s="2"/>
      <c r="N15" s="4"/>
      <c r="O15" s="4"/>
      <c r="P15" s="2"/>
      <c r="Q15" s="4"/>
      <c r="R15" s="4"/>
      <c r="S15" s="5"/>
    </row>
    <row r="16" spans="1:20" x14ac:dyDescent="0.5">
      <c r="A16" s="3"/>
      <c r="B16" s="2"/>
      <c r="C16" s="4"/>
      <c r="D16" s="4"/>
      <c r="E16" s="2" t="s">
        <v>56</v>
      </c>
      <c r="F16" s="4">
        <v>100</v>
      </c>
      <c r="G16" s="4"/>
      <c r="H16" s="4"/>
      <c r="I16" s="4"/>
      <c r="J16" s="5"/>
      <c r="K16" s="4"/>
      <c r="L16" s="4"/>
      <c r="M16" s="2"/>
      <c r="N16" s="4"/>
      <c r="O16" s="4"/>
      <c r="P16" s="4"/>
      <c r="Q16" s="4"/>
      <c r="R16" s="4"/>
      <c r="S16" s="5"/>
    </row>
    <row r="17" spans="1:19" x14ac:dyDescent="0.5">
      <c r="A17" s="3"/>
      <c r="B17" s="2"/>
      <c r="C17" s="4"/>
      <c r="D17" s="4"/>
      <c r="E17" s="2" t="s">
        <v>11</v>
      </c>
      <c r="F17" s="4">
        <v>90</v>
      </c>
      <c r="G17" s="4"/>
      <c r="H17" s="4"/>
      <c r="I17" s="4"/>
      <c r="J17" s="5"/>
      <c r="K17" s="4"/>
      <c r="L17" s="4"/>
      <c r="M17" s="2"/>
      <c r="N17" s="4"/>
      <c r="O17" s="4"/>
      <c r="P17" s="4"/>
      <c r="Q17" s="4"/>
      <c r="R17" s="4"/>
      <c r="S17" s="5"/>
    </row>
    <row r="18" spans="1:19" x14ac:dyDescent="0.5">
      <c r="A18" s="3"/>
      <c r="B18" s="4"/>
      <c r="C18" s="4"/>
      <c r="D18" s="4"/>
      <c r="E18" s="2"/>
      <c r="F18" s="4"/>
      <c r="G18" s="4"/>
      <c r="H18" s="4"/>
      <c r="I18" s="4"/>
      <c r="J18" s="5"/>
      <c r="K18" s="4"/>
      <c r="L18" s="4"/>
      <c r="M18" s="4"/>
      <c r="N18" s="4"/>
      <c r="O18" s="4"/>
      <c r="P18" s="4"/>
      <c r="Q18" s="4"/>
      <c r="R18" s="4"/>
      <c r="S18" s="5"/>
    </row>
    <row r="19" spans="1:19" x14ac:dyDescent="0.5">
      <c r="A19" s="3"/>
      <c r="B19" s="4"/>
      <c r="C19" s="4"/>
      <c r="D19" s="4"/>
      <c r="E19" s="4"/>
      <c r="F19" s="4"/>
      <c r="G19" s="4"/>
      <c r="H19" s="4"/>
      <c r="I19" s="4"/>
      <c r="J19" s="5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5">
      <c r="A20" s="3"/>
      <c r="B20" s="7" t="s">
        <v>4</v>
      </c>
      <c r="C20" s="4">
        <f>SUM(C7:C18)</f>
        <v>580</v>
      </c>
      <c r="D20" s="4"/>
      <c r="E20" s="4"/>
      <c r="F20" s="4">
        <f>SUM(F7:F18)+150</f>
        <v>2252</v>
      </c>
      <c r="G20" s="4"/>
      <c r="H20" s="4"/>
      <c r="I20" s="4">
        <f>SUM(I7:I18)</f>
        <v>0</v>
      </c>
      <c r="J20" s="5"/>
      <c r="K20" s="4"/>
      <c r="L20" s="4"/>
      <c r="M20" s="4"/>
      <c r="N20" s="4">
        <f>SUM(N7:N18)</f>
        <v>976</v>
      </c>
      <c r="O20" s="4"/>
      <c r="P20" s="4"/>
      <c r="Q20" s="4">
        <f>SUM(Q7:Q17)</f>
        <v>0</v>
      </c>
      <c r="R20" s="4"/>
      <c r="S20" s="5"/>
    </row>
    <row r="21" spans="1:19" x14ac:dyDescent="0.5">
      <c r="A21" s="3"/>
      <c r="B21" s="4"/>
      <c r="C21" s="4"/>
      <c r="D21" s="4"/>
      <c r="E21" s="4"/>
      <c r="F21" s="4"/>
      <c r="G21" s="4"/>
      <c r="H21" s="4"/>
      <c r="I21" s="4"/>
      <c r="J21" s="5"/>
      <c r="K21" s="4"/>
      <c r="L21" s="4"/>
      <c r="M21" s="4"/>
      <c r="N21" s="4"/>
      <c r="O21" s="4"/>
      <c r="P21" s="4"/>
      <c r="Q21" s="4"/>
      <c r="R21" s="4"/>
      <c r="S21" s="5"/>
    </row>
    <row r="22" spans="1:19" x14ac:dyDescent="0.5">
      <c r="A22" s="3"/>
      <c r="B22" s="4"/>
      <c r="C22" s="4"/>
      <c r="D22" s="4"/>
      <c r="E22" s="4"/>
      <c r="F22" s="4"/>
      <c r="G22" s="4"/>
      <c r="H22" s="4"/>
      <c r="I22" s="4"/>
      <c r="J22" s="5"/>
      <c r="K22" s="4"/>
      <c r="L22" s="4"/>
      <c r="M22" s="4"/>
      <c r="N22" s="4"/>
      <c r="O22" s="4"/>
      <c r="P22" s="4"/>
      <c r="Q22" s="4"/>
      <c r="R22" s="4"/>
      <c r="S22" s="5"/>
    </row>
    <row r="23" spans="1:19" x14ac:dyDescent="0.5">
      <c r="A23" s="3"/>
      <c r="B23" s="4"/>
      <c r="C23" s="4"/>
      <c r="D23" s="4"/>
      <c r="E23" s="4"/>
      <c r="F23" s="4"/>
      <c r="G23" s="4"/>
      <c r="H23" s="4"/>
      <c r="I23" s="4"/>
      <c r="J23" s="5"/>
      <c r="K23" s="4"/>
      <c r="L23" s="4"/>
      <c r="M23" s="4"/>
      <c r="N23" s="4"/>
      <c r="O23" s="4"/>
      <c r="P23" s="4"/>
      <c r="Q23" s="4"/>
      <c r="R23" s="4"/>
      <c r="S23" s="5"/>
    </row>
    <row r="24" spans="1:19" x14ac:dyDescent="0.5">
      <c r="A24" s="3"/>
      <c r="B24" s="4"/>
      <c r="C24" s="7" t="s">
        <v>8</v>
      </c>
      <c r="D24" s="4">
        <f>C20+F20+I20</f>
        <v>2832</v>
      </c>
      <c r="E24" s="4"/>
      <c r="F24" s="4"/>
      <c r="G24" s="4"/>
      <c r="H24" s="4"/>
      <c r="I24" s="4"/>
      <c r="J24" s="5"/>
      <c r="K24" s="7" t="s">
        <v>4</v>
      </c>
      <c r="L24" s="4"/>
      <c r="M24" s="4"/>
      <c r="N24" s="4"/>
      <c r="O24" s="4"/>
      <c r="P24" s="4">
        <f>N20+Q20</f>
        <v>976</v>
      </c>
      <c r="Q24" s="4"/>
      <c r="R24" s="4"/>
      <c r="S24" s="5"/>
    </row>
    <row r="25" spans="1:19" x14ac:dyDescent="0.5">
      <c r="A25" s="3"/>
      <c r="B25" s="4"/>
      <c r="C25" s="4"/>
      <c r="D25" s="4"/>
      <c r="E25" s="4"/>
      <c r="F25" s="4"/>
      <c r="G25" s="4"/>
      <c r="H25" s="4"/>
      <c r="I25" s="4"/>
      <c r="J25" s="5"/>
      <c r="K25" s="4"/>
      <c r="L25" s="4"/>
      <c r="M25" s="4"/>
      <c r="N25" s="4"/>
      <c r="O25" s="4"/>
      <c r="P25" s="4"/>
      <c r="Q25" s="4"/>
      <c r="R25" s="4"/>
      <c r="S25" s="5"/>
    </row>
    <row r="26" spans="1:19" x14ac:dyDescent="0.5">
      <c r="A26" s="3"/>
      <c r="B26" s="4"/>
      <c r="C26" s="4"/>
      <c r="D26" s="4"/>
      <c r="E26" s="4"/>
      <c r="F26" s="4"/>
      <c r="G26" s="4"/>
      <c r="H26" s="4"/>
      <c r="I26" s="4"/>
      <c r="J26" s="5"/>
      <c r="K26" s="4"/>
      <c r="L26" s="4"/>
      <c r="M26" s="4"/>
      <c r="N26" s="4"/>
      <c r="O26" s="4"/>
      <c r="P26" s="4"/>
      <c r="Q26" s="4"/>
      <c r="R26" s="4"/>
      <c r="S26" s="5"/>
    </row>
    <row r="27" spans="1:19" x14ac:dyDescent="0.5">
      <c r="A27" s="3"/>
      <c r="B27" s="7" t="s">
        <v>74</v>
      </c>
      <c r="C27" s="4">
        <f>G4-D24</f>
        <v>268</v>
      </c>
      <c r="D27" s="4"/>
      <c r="E27" s="4"/>
      <c r="F27" s="4"/>
      <c r="G27" s="4"/>
      <c r="H27" s="4"/>
      <c r="I27" s="4"/>
      <c r="J27" s="5"/>
      <c r="K27" s="7" t="s">
        <v>21</v>
      </c>
      <c r="L27" s="4">
        <f>O4-P24</f>
        <v>504</v>
      </c>
      <c r="M27" s="4"/>
      <c r="N27" s="4"/>
      <c r="O27" s="4"/>
      <c r="P27" s="4"/>
      <c r="Q27" s="4"/>
      <c r="R27" s="4"/>
      <c r="S27" s="5"/>
    </row>
    <row r="28" spans="1:19" x14ac:dyDescent="0.5">
      <c r="A28" s="3"/>
      <c r="B28" s="4"/>
      <c r="C28" s="4"/>
      <c r="D28" s="4"/>
      <c r="E28" s="4"/>
      <c r="F28" s="4"/>
      <c r="G28" s="4"/>
      <c r="H28" s="4"/>
      <c r="I28" s="4"/>
      <c r="J28" s="5"/>
      <c r="K28" s="4"/>
      <c r="L28" s="4"/>
      <c r="M28" s="4"/>
      <c r="N28" s="4"/>
      <c r="O28" s="4"/>
      <c r="P28" s="4"/>
      <c r="Q28" s="4"/>
      <c r="R28" s="4"/>
      <c r="S28" s="5"/>
    </row>
    <row r="29" spans="1:19" x14ac:dyDescent="0.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x14ac:dyDescent="0.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x14ac:dyDescent="0.5">
      <c r="A32" s="2"/>
      <c r="B32" s="7" t="s">
        <v>25</v>
      </c>
      <c r="C32" s="4"/>
      <c r="D32" s="4"/>
      <c r="E32" s="4"/>
      <c r="F32" s="4"/>
      <c r="G32" s="4"/>
      <c r="H32" s="4"/>
      <c r="I32" s="4"/>
      <c r="J32" s="4">
        <f>C27+L27</f>
        <v>772</v>
      </c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5">
      <c r="A33" s="2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60" spans="2:3" x14ac:dyDescent="0.5">
      <c r="B60" s="7" t="s">
        <v>2</v>
      </c>
      <c r="C60" s="4">
        <v>1900</v>
      </c>
    </row>
    <row r="96" spans="2:2" x14ac:dyDescent="0.5">
      <c r="B96">
        <v>3000</v>
      </c>
    </row>
    <row r="97" spans="2:16" x14ac:dyDescent="0.5">
      <c r="B97">
        <v>2500</v>
      </c>
      <c r="J97">
        <v>3000</v>
      </c>
    </row>
    <row r="98" spans="2:16" x14ac:dyDescent="0.5">
      <c r="B98">
        <v>2500</v>
      </c>
      <c r="J98">
        <v>600</v>
      </c>
    </row>
    <row r="99" spans="2:16" x14ac:dyDescent="0.5">
      <c r="B99">
        <v>800</v>
      </c>
    </row>
    <row r="100" spans="2:16" x14ac:dyDescent="0.5">
      <c r="B100">
        <v>700</v>
      </c>
    </row>
    <row r="104" spans="2:16" x14ac:dyDescent="0.5">
      <c r="B104">
        <f>SUM(B96:B100)</f>
        <v>9500</v>
      </c>
      <c r="D104">
        <f>B104-7000</f>
        <v>2500</v>
      </c>
    </row>
    <row r="105" spans="2:16" x14ac:dyDescent="0.5">
      <c r="P105">
        <v>126</v>
      </c>
    </row>
    <row r="106" spans="2:16" x14ac:dyDescent="0.5">
      <c r="P106" s="4">
        <v>12</v>
      </c>
    </row>
    <row r="107" spans="2:16" x14ac:dyDescent="0.5">
      <c r="P107" s="4">
        <v>10</v>
      </c>
    </row>
    <row r="108" spans="2:16" x14ac:dyDescent="0.5">
      <c r="P108" s="4">
        <v>20</v>
      </c>
    </row>
    <row r="109" spans="2:16" x14ac:dyDescent="0.5">
      <c r="P109" s="4">
        <v>20</v>
      </c>
    </row>
    <row r="110" spans="2:16" x14ac:dyDescent="0.5">
      <c r="P110" s="4">
        <v>20</v>
      </c>
    </row>
    <row r="111" spans="2:16" x14ac:dyDescent="0.5">
      <c r="P111" s="4">
        <v>3.99</v>
      </c>
    </row>
    <row r="112" spans="2:16" x14ac:dyDescent="0.5">
      <c r="P112" s="4">
        <v>100</v>
      </c>
    </row>
    <row r="113" spans="5:16" x14ac:dyDescent="0.5">
      <c r="E113">
        <v>1400</v>
      </c>
      <c r="P113" s="4">
        <v>75</v>
      </c>
    </row>
    <row r="114" spans="5:16" x14ac:dyDescent="0.5">
      <c r="E114">
        <v>1300</v>
      </c>
      <c r="P114" s="4">
        <v>60</v>
      </c>
    </row>
    <row r="115" spans="5:16" x14ac:dyDescent="0.5">
      <c r="E115">
        <v>950</v>
      </c>
      <c r="P115" s="4"/>
    </row>
    <row r="116" spans="5:16" x14ac:dyDescent="0.5">
      <c r="P116" s="4">
        <v>70</v>
      </c>
    </row>
    <row r="119" spans="5:16" x14ac:dyDescent="0.5">
      <c r="E119">
        <f>SUM(E113:E117)</f>
        <v>3650</v>
      </c>
    </row>
    <row r="123" spans="5:16" x14ac:dyDescent="0.5">
      <c r="P123">
        <f>SUM(P103:P120)</f>
        <v>516.99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96170-A85A-4424-A731-7674D842F02C}">
  <sheetPr codeName="Feuil6"/>
  <dimension ref="A1:T124"/>
  <sheetViews>
    <sheetView topLeftCell="A15" zoomScale="88" workbookViewId="0">
      <selection activeCell="C28" sqref="C28"/>
    </sheetView>
  </sheetViews>
  <sheetFormatPr baseColWidth="10" defaultRowHeight="15.75" x14ac:dyDescent="0.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0" x14ac:dyDescent="0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x14ac:dyDescent="0.5">
      <c r="A3" s="3"/>
      <c r="B3" s="2"/>
      <c r="C3" s="4"/>
      <c r="D3" s="4"/>
      <c r="E3" s="4"/>
      <c r="F3" s="4"/>
      <c r="G3" s="4"/>
      <c r="H3" s="4" t="s">
        <v>59</v>
      </c>
      <c r="I3" s="4" t="s">
        <v>60</v>
      </c>
      <c r="J3" s="5"/>
      <c r="K3" s="4"/>
      <c r="L3" s="4"/>
      <c r="M3" s="4"/>
      <c r="N3" s="4"/>
      <c r="O3" s="4"/>
      <c r="P3" s="4"/>
      <c r="Q3" s="4"/>
      <c r="R3" s="4"/>
      <c r="S3" s="5"/>
    </row>
    <row r="4" spans="1:20" x14ac:dyDescent="0.5">
      <c r="A4" s="3"/>
      <c r="B4" s="2"/>
      <c r="C4" s="4"/>
      <c r="D4" s="4"/>
      <c r="E4" s="6" t="s">
        <v>19</v>
      </c>
      <c r="F4" s="7" t="s">
        <v>5</v>
      </c>
      <c r="G4" s="4">
        <f>H4+I4</f>
        <v>1900</v>
      </c>
      <c r="H4" s="4">
        <v>1900</v>
      </c>
      <c r="I4" s="4"/>
      <c r="J4" s="5"/>
      <c r="K4" s="4"/>
      <c r="L4" s="4"/>
      <c r="M4" s="6" t="s">
        <v>20</v>
      </c>
      <c r="N4" s="7" t="s">
        <v>5</v>
      </c>
      <c r="O4" s="4">
        <v>1480</v>
      </c>
      <c r="P4" s="4"/>
      <c r="Q4" s="4"/>
      <c r="R4" s="4"/>
      <c r="S4" s="5"/>
    </row>
    <row r="5" spans="1:20" x14ac:dyDescent="0.5">
      <c r="A5" s="3"/>
      <c r="B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5"/>
    </row>
    <row r="6" spans="1:20" x14ac:dyDescent="0.5">
      <c r="A6" s="3"/>
      <c r="B6" s="2"/>
      <c r="C6" s="7" t="s">
        <v>16</v>
      </c>
      <c r="D6" s="8"/>
      <c r="E6" s="7" t="s">
        <v>17</v>
      </c>
      <c r="F6" s="8"/>
      <c r="G6" s="7"/>
      <c r="H6" s="7" t="s">
        <v>18</v>
      </c>
      <c r="I6" s="7"/>
      <c r="J6" s="5"/>
      <c r="K6" s="7" t="s">
        <v>16</v>
      </c>
      <c r="L6" s="8"/>
      <c r="M6" s="7" t="s">
        <v>17</v>
      </c>
      <c r="N6" s="8"/>
      <c r="O6" s="7"/>
      <c r="P6" s="7" t="s">
        <v>18</v>
      </c>
      <c r="Q6" s="7"/>
      <c r="R6" s="4"/>
      <c r="S6" s="5"/>
    </row>
    <row r="7" spans="1:20" x14ac:dyDescent="0.5">
      <c r="A7" s="3"/>
      <c r="B7" s="2" t="s">
        <v>46</v>
      </c>
      <c r="C7" s="4">
        <v>0</v>
      </c>
      <c r="D7" s="4"/>
      <c r="E7" s="2" t="s">
        <v>0</v>
      </c>
      <c r="F7" s="4">
        <v>1002</v>
      </c>
      <c r="G7" s="4"/>
      <c r="H7" s="2"/>
      <c r="I7" s="4"/>
      <c r="J7" s="5"/>
      <c r="K7" s="4"/>
      <c r="L7" s="4"/>
      <c r="M7" s="2" t="s">
        <v>26</v>
      </c>
      <c r="N7" s="4">
        <v>150</v>
      </c>
      <c r="O7" s="4"/>
      <c r="P7" s="2"/>
      <c r="Q7" s="4"/>
      <c r="R7" s="4"/>
      <c r="S7" s="5"/>
    </row>
    <row r="8" spans="1:20" x14ac:dyDescent="0.5">
      <c r="A8" s="3"/>
      <c r="B8" s="2"/>
      <c r="C8" s="4" t="s">
        <v>63</v>
      </c>
      <c r="D8" s="4"/>
      <c r="E8" s="2" t="s">
        <v>10</v>
      </c>
      <c r="F8" s="4"/>
      <c r="G8" s="4"/>
      <c r="H8" s="2"/>
      <c r="I8" s="4"/>
      <c r="J8" s="5"/>
      <c r="K8" s="4"/>
      <c r="L8" s="4"/>
      <c r="M8" s="2" t="s">
        <v>49</v>
      </c>
      <c r="N8" s="4">
        <v>200</v>
      </c>
      <c r="O8" s="4"/>
      <c r="P8" s="2"/>
      <c r="Q8" s="4"/>
      <c r="R8" s="4"/>
      <c r="S8" s="5"/>
      <c r="T8">
        <v>50</v>
      </c>
    </row>
    <row r="9" spans="1:20" x14ac:dyDescent="0.5">
      <c r="A9" s="3"/>
      <c r="B9" s="2" t="s">
        <v>28</v>
      </c>
      <c r="C9" s="4">
        <v>200</v>
      </c>
      <c r="D9" s="4"/>
      <c r="E9" s="2" t="s">
        <v>47</v>
      </c>
      <c r="F9" s="4"/>
      <c r="G9" s="4"/>
      <c r="H9" s="2"/>
      <c r="I9" s="4"/>
      <c r="J9" s="5"/>
      <c r="K9" s="4"/>
      <c r="L9" s="4"/>
      <c r="M9" s="2" t="s">
        <v>50</v>
      </c>
      <c r="N9" s="4">
        <v>200</v>
      </c>
      <c r="O9" s="4"/>
      <c r="P9" s="2"/>
      <c r="Q9" s="4"/>
      <c r="R9" s="4"/>
      <c r="S9" s="5"/>
      <c r="T9">
        <v>200</v>
      </c>
    </row>
    <row r="10" spans="1:20" x14ac:dyDescent="0.5">
      <c r="A10" s="3"/>
      <c r="B10" s="2" t="s">
        <v>28</v>
      </c>
      <c r="C10" s="4">
        <v>80</v>
      </c>
      <c r="D10" s="4"/>
      <c r="E10" s="2" t="s">
        <v>3</v>
      </c>
      <c r="F10" s="4">
        <v>283</v>
      </c>
      <c r="G10" s="4"/>
      <c r="H10" s="2"/>
      <c r="I10" s="4"/>
      <c r="J10" s="5"/>
      <c r="K10" s="4"/>
      <c r="L10" s="4"/>
      <c r="M10" s="2" t="s">
        <v>51</v>
      </c>
      <c r="N10" s="4">
        <v>300</v>
      </c>
      <c r="O10" s="4"/>
      <c r="P10" s="2"/>
      <c r="Q10" s="4"/>
      <c r="R10" s="4"/>
      <c r="S10" s="5"/>
      <c r="T10">
        <v>150</v>
      </c>
    </row>
    <row r="11" spans="1:20" x14ac:dyDescent="0.5">
      <c r="A11" s="3"/>
      <c r="B11" s="2" t="s">
        <v>125</v>
      </c>
      <c r="C11" s="4">
        <v>1000</v>
      </c>
      <c r="D11" s="4"/>
      <c r="E11" s="2" t="s">
        <v>1</v>
      </c>
      <c r="F11" s="4">
        <v>157</v>
      </c>
      <c r="G11" s="4"/>
      <c r="J11" s="5"/>
      <c r="K11" s="4"/>
      <c r="L11" s="4"/>
      <c r="M11" s="2" t="s">
        <v>52</v>
      </c>
      <c r="N11" s="4">
        <v>100</v>
      </c>
      <c r="O11" s="4"/>
      <c r="P11" s="2"/>
      <c r="Q11" s="4"/>
      <c r="R11" s="4"/>
      <c r="S11" s="5"/>
      <c r="T11">
        <v>160</v>
      </c>
    </row>
    <row r="12" spans="1:20" x14ac:dyDescent="0.5">
      <c r="A12" s="3"/>
      <c r="B12" s="2" t="s">
        <v>78</v>
      </c>
      <c r="C12" s="4">
        <v>150</v>
      </c>
      <c r="D12" s="4"/>
      <c r="E12" s="2" t="s">
        <v>9</v>
      </c>
      <c r="F12" s="4">
        <v>300</v>
      </c>
      <c r="G12" s="4"/>
      <c r="J12" s="5"/>
      <c r="K12" s="4"/>
      <c r="L12" s="4"/>
      <c r="M12" s="2" t="s">
        <v>53</v>
      </c>
      <c r="N12" s="4">
        <v>13</v>
      </c>
      <c r="O12" s="4"/>
      <c r="P12" s="2"/>
      <c r="Q12" s="4"/>
      <c r="R12" s="4"/>
      <c r="S12" s="5"/>
    </row>
    <row r="13" spans="1:20" x14ac:dyDescent="0.5">
      <c r="A13" s="3"/>
      <c r="B13" s="2"/>
      <c r="C13" s="4"/>
      <c r="D13" s="4"/>
      <c r="E13" s="2" t="s">
        <v>13</v>
      </c>
      <c r="F13" s="4">
        <v>12</v>
      </c>
      <c r="G13" s="4"/>
      <c r="J13" s="5"/>
      <c r="K13" s="4"/>
      <c r="L13" s="4"/>
      <c r="M13" s="2" t="s">
        <v>54</v>
      </c>
      <c r="N13" s="4">
        <v>13</v>
      </c>
      <c r="O13" s="4"/>
      <c r="P13" s="2"/>
      <c r="Q13" s="4"/>
      <c r="R13" s="4"/>
      <c r="S13" s="5"/>
    </row>
    <row r="14" spans="1:20" x14ac:dyDescent="0.5">
      <c r="A14" s="3"/>
      <c r="B14" s="2"/>
      <c r="C14" s="4"/>
      <c r="D14" s="4"/>
      <c r="E14" s="2" t="s">
        <v>14</v>
      </c>
      <c r="F14" s="4">
        <v>13</v>
      </c>
      <c r="G14" s="4"/>
      <c r="J14" s="5"/>
      <c r="K14" s="4"/>
      <c r="L14" s="4"/>
      <c r="M14" s="2"/>
      <c r="N14" s="4"/>
      <c r="O14" s="4"/>
      <c r="P14" s="2"/>
      <c r="Q14" s="4"/>
      <c r="R14" s="4"/>
      <c r="S14" s="5"/>
      <c r="T14">
        <f>SUM(T8:T11)</f>
        <v>560</v>
      </c>
    </row>
    <row r="15" spans="1:20" x14ac:dyDescent="0.5">
      <c r="A15" s="3"/>
      <c r="B15" s="2"/>
      <c r="C15" s="4"/>
      <c r="D15" s="4"/>
      <c r="E15" s="2" t="s">
        <v>48</v>
      </c>
      <c r="F15" s="4">
        <v>450</v>
      </c>
      <c r="G15" s="4"/>
      <c r="H15" s="2"/>
      <c r="I15" s="4"/>
      <c r="J15" s="5"/>
      <c r="K15" s="4"/>
      <c r="L15" s="4"/>
      <c r="M15" s="2"/>
      <c r="N15" s="4"/>
      <c r="O15" s="4"/>
      <c r="P15" s="2"/>
      <c r="Q15" s="4"/>
      <c r="R15" s="4"/>
      <c r="S15" s="5"/>
    </row>
    <row r="16" spans="1:20" x14ac:dyDescent="0.5">
      <c r="A16" s="3"/>
      <c r="B16" s="2"/>
      <c r="C16" s="4"/>
      <c r="D16" s="4"/>
      <c r="E16" s="2" t="s">
        <v>56</v>
      </c>
      <c r="F16" s="4">
        <v>100</v>
      </c>
      <c r="G16" s="4"/>
      <c r="H16" s="4"/>
      <c r="I16" s="4"/>
      <c r="J16" s="5"/>
      <c r="K16" s="4"/>
      <c r="L16" s="4"/>
      <c r="M16" s="2"/>
      <c r="N16" s="4"/>
      <c r="O16" s="4"/>
      <c r="P16" s="4"/>
      <c r="Q16" s="4"/>
      <c r="R16" s="4"/>
      <c r="S16" s="5"/>
    </row>
    <row r="17" spans="1:19" x14ac:dyDescent="0.5">
      <c r="A17" s="3"/>
      <c r="B17" s="2"/>
      <c r="C17" s="4"/>
      <c r="D17" s="4"/>
      <c r="E17" s="2" t="s">
        <v>11</v>
      </c>
      <c r="F17" s="4">
        <v>90</v>
      </c>
      <c r="G17" s="4"/>
      <c r="H17" s="4"/>
      <c r="I17" s="4"/>
      <c r="J17" s="5"/>
      <c r="K17" s="4"/>
      <c r="L17" s="4"/>
      <c r="M17" s="2"/>
      <c r="N17" s="4"/>
      <c r="O17" s="4"/>
      <c r="P17" s="4"/>
      <c r="Q17" s="4"/>
      <c r="R17" s="4"/>
      <c r="S17" s="5"/>
    </row>
    <row r="18" spans="1:19" x14ac:dyDescent="0.5">
      <c r="A18" s="3"/>
      <c r="B18" s="4"/>
      <c r="C18" s="4"/>
      <c r="D18" s="4"/>
      <c r="E18" s="2" t="s">
        <v>119</v>
      </c>
      <c r="F18" s="4">
        <v>1250</v>
      </c>
      <c r="G18" s="4"/>
      <c r="H18" s="4"/>
      <c r="I18" s="4"/>
      <c r="J18" s="5"/>
      <c r="K18" s="4"/>
      <c r="L18" s="4"/>
      <c r="M18" s="4"/>
      <c r="N18" s="4"/>
      <c r="O18" s="4"/>
      <c r="P18" s="4"/>
      <c r="Q18" s="4"/>
      <c r="R18" s="4"/>
      <c r="S18" s="5"/>
    </row>
    <row r="19" spans="1:19" x14ac:dyDescent="0.5">
      <c r="A19" s="3"/>
      <c r="B19" s="4"/>
      <c r="C19" s="4"/>
      <c r="D19" s="4"/>
      <c r="E19" s="4" t="s">
        <v>27</v>
      </c>
      <c r="F19" s="4">
        <v>50</v>
      </c>
      <c r="G19" s="4"/>
      <c r="H19" s="4"/>
      <c r="I19" s="4"/>
      <c r="J19" s="5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5">
      <c r="A20" s="3"/>
      <c r="B20" s="4"/>
      <c r="C20" s="4"/>
      <c r="D20" s="4"/>
      <c r="G20" s="4"/>
      <c r="H20" s="4"/>
      <c r="I20" s="4"/>
      <c r="J20" s="5"/>
      <c r="K20" s="4"/>
      <c r="L20" s="4"/>
      <c r="M20" s="4"/>
      <c r="N20" s="4"/>
      <c r="O20" s="4"/>
      <c r="P20" s="4"/>
      <c r="Q20" s="4"/>
      <c r="R20" s="4"/>
      <c r="S20" s="5"/>
    </row>
    <row r="21" spans="1:19" x14ac:dyDescent="0.5">
      <c r="A21" s="3"/>
      <c r="B21" s="7" t="s">
        <v>4</v>
      </c>
      <c r="C21" s="4">
        <f>SUM(C7:C18)</f>
        <v>1430</v>
      </c>
      <c r="D21" s="4"/>
      <c r="E21" s="4"/>
      <c r="F21" s="4">
        <f>SUM(F7:F19)+150</f>
        <v>3857</v>
      </c>
      <c r="G21" s="4"/>
      <c r="H21" s="4"/>
      <c r="I21" s="4">
        <f>SUM(I7:I18)</f>
        <v>0</v>
      </c>
      <c r="J21" s="5"/>
      <c r="K21" s="4"/>
      <c r="L21" s="4"/>
      <c r="M21" s="4"/>
      <c r="N21" s="4">
        <f>SUM(N7:N18)</f>
        <v>976</v>
      </c>
      <c r="O21" s="4"/>
      <c r="P21" s="4"/>
      <c r="Q21" s="4">
        <f>SUM(Q7:Q17)</f>
        <v>0</v>
      </c>
      <c r="R21" s="4"/>
      <c r="S21" s="5"/>
    </row>
    <row r="22" spans="1:19" x14ac:dyDescent="0.5">
      <c r="A22" s="3"/>
      <c r="B22" s="4"/>
      <c r="C22" s="4"/>
      <c r="D22" s="4"/>
      <c r="E22" s="4"/>
      <c r="F22" s="4"/>
      <c r="G22" s="4"/>
      <c r="H22" s="4"/>
      <c r="I22" s="4"/>
      <c r="J22" s="5"/>
      <c r="K22" s="4"/>
      <c r="L22" s="4"/>
      <c r="M22" s="4"/>
      <c r="N22" s="4"/>
      <c r="O22" s="4"/>
      <c r="P22" s="4"/>
      <c r="Q22" s="4"/>
      <c r="R22" s="4"/>
      <c r="S22" s="5"/>
    </row>
    <row r="23" spans="1:19" x14ac:dyDescent="0.5">
      <c r="A23" s="3"/>
      <c r="B23" s="4"/>
      <c r="C23" s="4"/>
      <c r="D23" s="4"/>
      <c r="E23" s="4"/>
      <c r="F23" s="4"/>
      <c r="G23" s="4"/>
      <c r="H23" s="4"/>
      <c r="I23" s="4"/>
      <c r="J23" s="5"/>
      <c r="K23" s="4"/>
      <c r="L23" s="4"/>
      <c r="M23" s="4"/>
      <c r="N23" s="4"/>
      <c r="O23" s="4"/>
      <c r="P23" s="4"/>
      <c r="Q23" s="4"/>
      <c r="R23" s="4"/>
      <c r="S23" s="5"/>
    </row>
    <row r="24" spans="1:19" x14ac:dyDescent="0.5">
      <c r="A24" s="3"/>
      <c r="B24" s="4"/>
      <c r="C24" s="4"/>
      <c r="D24" s="4"/>
      <c r="E24" s="4"/>
      <c r="F24" s="4"/>
      <c r="G24" s="4"/>
      <c r="H24" s="4"/>
      <c r="I24" s="4"/>
      <c r="J24" s="5"/>
      <c r="K24" s="4"/>
      <c r="L24" s="4"/>
      <c r="M24" s="4"/>
      <c r="N24" s="4"/>
      <c r="O24" s="4"/>
      <c r="P24" s="4"/>
      <c r="Q24" s="4"/>
      <c r="R24" s="4"/>
      <c r="S24" s="5"/>
    </row>
    <row r="25" spans="1:19" x14ac:dyDescent="0.5">
      <c r="A25" s="3"/>
      <c r="B25" s="4"/>
      <c r="C25" s="7" t="s">
        <v>8</v>
      </c>
      <c r="D25" s="4">
        <f>C21+F21+I21</f>
        <v>5287</v>
      </c>
      <c r="E25" s="4"/>
      <c r="F25" s="4"/>
      <c r="G25" s="4"/>
      <c r="H25" s="4"/>
      <c r="I25" s="4"/>
      <c r="J25" s="5"/>
      <c r="K25" s="7" t="s">
        <v>4</v>
      </c>
      <c r="L25" s="4"/>
      <c r="M25" s="4"/>
      <c r="N25" s="4"/>
      <c r="O25" s="4"/>
      <c r="P25" s="4">
        <f>N21+Q21</f>
        <v>976</v>
      </c>
      <c r="Q25" s="4"/>
      <c r="R25" s="4"/>
      <c r="S25" s="5"/>
    </row>
    <row r="26" spans="1:19" x14ac:dyDescent="0.5">
      <c r="A26" s="3"/>
      <c r="B26" s="4"/>
      <c r="C26" s="4"/>
      <c r="D26" s="4"/>
      <c r="E26" s="4"/>
      <c r="F26" s="4"/>
      <c r="G26" s="4"/>
      <c r="H26" s="4"/>
      <c r="I26" s="4"/>
      <c r="J26" s="5"/>
      <c r="K26" s="4"/>
      <c r="L26" s="4"/>
      <c r="M26" s="4"/>
      <c r="N26" s="4"/>
      <c r="O26" s="4"/>
      <c r="P26" s="4"/>
      <c r="Q26" s="4"/>
      <c r="R26" s="4"/>
      <c r="S26" s="5"/>
    </row>
    <row r="27" spans="1:19" x14ac:dyDescent="0.5">
      <c r="A27" s="3"/>
      <c r="B27" s="4"/>
      <c r="C27" s="4"/>
      <c r="D27" s="4"/>
      <c r="E27" s="4"/>
      <c r="F27" s="4"/>
      <c r="G27" s="4"/>
      <c r="H27" s="4"/>
      <c r="I27" s="4"/>
      <c r="J27" s="5"/>
      <c r="K27" s="4"/>
      <c r="L27" s="4"/>
      <c r="M27" s="4"/>
      <c r="N27" s="4"/>
      <c r="O27" s="4"/>
      <c r="P27" s="4"/>
      <c r="Q27" s="4"/>
      <c r="R27" s="4"/>
      <c r="S27" s="5"/>
    </row>
    <row r="28" spans="1:19" x14ac:dyDescent="0.5">
      <c r="A28" s="3"/>
      <c r="B28" s="7" t="s">
        <v>74</v>
      </c>
      <c r="C28" s="4">
        <f>G4-D25</f>
        <v>-3387</v>
      </c>
      <c r="D28" s="4"/>
      <c r="E28" s="4"/>
      <c r="F28" s="4"/>
      <c r="G28" s="4"/>
      <c r="H28" s="4"/>
      <c r="I28" s="4"/>
      <c r="J28" s="5"/>
      <c r="K28" s="7" t="s">
        <v>21</v>
      </c>
      <c r="L28" s="4">
        <f>O4-P25</f>
        <v>504</v>
      </c>
      <c r="M28" s="4"/>
      <c r="N28" s="4"/>
      <c r="O28" s="4"/>
      <c r="P28" s="4"/>
      <c r="Q28" s="4"/>
      <c r="R28" s="4"/>
      <c r="S28" s="5"/>
    </row>
    <row r="29" spans="1:19" x14ac:dyDescent="0.5">
      <c r="A29" s="3"/>
      <c r="B29" s="4"/>
      <c r="C29" s="4"/>
      <c r="D29" s="4"/>
      <c r="E29" s="4"/>
      <c r="F29" s="4"/>
      <c r="G29" s="4"/>
      <c r="H29" s="4"/>
      <c r="I29" s="4"/>
      <c r="J29" s="5"/>
      <c r="K29" s="4"/>
      <c r="L29" s="4"/>
      <c r="M29" s="4"/>
      <c r="N29" s="4"/>
      <c r="O29" s="4"/>
      <c r="P29" s="4"/>
      <c r="Q29" s="4"/>
      <c r="R29" s="4"/>
      <c r="S29" s="5"/>
    </row>
    <row r="30" spans="1:19" x14ac:dyDescent="0.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5">
      <c r="A33" s="2"/>
      <c r="B33" s="7" t="s">
        <v>25</v>
      </c>
      <c r="C33" s="4"/>
      <c r="D33" s="4"/>
      <c r="E33" s="4"/>
      <c r="F33" s="4"/>
      <c r="G33" s="4"/>
      <c r="H33" s="4"/>
      <c r="I33" s="4"/>
      <c r="J33" s="4">
        <f>C28+L28</f>
        <v>-2883</v>
      </c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5">
      <c r="A34" s="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61" spans="2:3" x14ac:dyDescent="0.5">
      <c r="B61" s="7" t="s">
        <v>2</v>
      </c>
      <c r="C61" s="4">
        <v>1900</v>
      </c>
    </row>
    <row r="97" spans="2:16" x14ac:dyDescent="0.5">
      <c r="B97">
        <v>3000</v>
      </c>
    </row>
    <row r="98" spans="2:16" x14ac:dyDescent="0.5">
      <c r="B98">
        <v>2500</v>
      </c>
      <c r="J98">
        <v>3000</v>
      </c>
    </row>
    <row r="99" spans="2:16" x14ac:dyDescent="0.5">
      <c r="B99">
        <v>2500</v>
      </c>
      <c r="J99">
        <v>600</v>
      </c>
    </row>
    <row r="100" spans="2:16" x14ac:dyDescent="0.5">
      <c r="B100">
        <v>800</v>
      </c>
    </row>
    <row r="101" spans="2:16" x14ac:dyDescent="0.5">
      <c r="B101">
        <v>700</v>
      </c>
    </row>
    <row r="105" spans="2:16" x14ac:dyDescent="0.5">
      <c r="B105">
        <f>SUM(B97:B101)</f>
        <v>9500</v>
      </c>
      <c r="D105">
        <f>B105-7000</f>
        <v>2500</v>
      </c>
    </row>
    <row r="106" spans="2:16" x14ac:dyDescent="0.5">
      <c r="P106">
        <v>126</v>
      </c>
    </row>
    <row r="107" spans="2:16" x14ac:dyDescent="0.5">
      <c r="P107" s="4">
        <v>12</v>
      </c>
    </row>
    <row r="108" spans="2:16" x14ac:dyDescent="0.5">
      <c r="P108" s="4">
        <v>10</v>
      </c>
    </row>
    <row r="109" spans="2:16" x14ac:dyDescent="0.5">
      <c r="P109" s="4">
        <v>20</v>
      </c>
    </row>
    <row r="110" spans="2:16" x14ac:dyDescent="0.5">
      <c r="P110" s="4">
        <v>20</v>
      </c>
    </row>
    <row r="111" spans="2:16" x14ac:dyDescent="0.5">
      <c r="P111" s="4">
        <v>20</v>
      </c>
    </row>
    <row r="112" spans="2:16" x14ac:dyDescent="0.5">
      <c r="P112" s="4">
        <v>3.99</v>
      </c>
    </row>
    <row r="113" spans="5:16" x14ac:dyDescent="0.5">
      <c r="P113" s="4">
        <v>100</v>
      </c>
    </row>
    <row r="114" spans="5:16" x14ac:dyDescent="0.5">
      <c r="E114">
        <v>1400</v>
      </c>
      <c r="P114" s="4">
        <v>75</v>
      </c>
    </row>
    <row r="115" spans="5:16" x14ac:dyDescent="0.5">
      <c r="E115">
        <v>1300</v>
      </c>
      <c r="P115" s="4">
        <v>60</v>
      </c>
    </row>
    <row r="116" spans="5:16" x14ac:dyDescent="0.5">
      <c r="E116">
        <v>950</v>
      </c>
      <c r="P116" s="4"/>
    </row>
    <row r="117" spans="5:16" x14ac:dyDescent="0.5">
      <c r="P117" s="4">
        <v>70</v>
      </c>
    </row>
    <row r="120" spans="5:16" x14ac:dyDescent="0.5">
      <c r="E120">
        <f>SUM(E114:E118)</f>
        <v>3650</v>
      </c>
    </row>
    <row r="124" spans="5:16" x14ac:dyDescent="0.5">
      <c r="P124">
        <f>SUM(P104:P121)</f>
        <v>516.99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8DE3-F5ED-4261-AAFF-974C4232EE82}">
  <sheetPr codeName="Feuil7"/>
  <dimension ref="A1:T124"/>
  <sheetViews>
    <sheetView topLeftCell="A12" workbookViewId="0">
      <selection activeCell="D27" sqref="D27"/>
    </sheetView>
  </sheetViews>
  <sheetFormatPr baseColWidth="10" defaultRowHeight="15.75" x14ac:dyDescent="0.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0" x14ac:dyDescent="0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x14ac:dyDescent="0.5">
      <c r="A3" s="3"/>
      <c r="B3" s="2"/>
      <c r="C3" s="4"/>
      <c r="D3" s="4"/>
      <c r="E3" s="4"/>
      <c r="F3" s="4"/>
      <c r="G3" s="4"/>
      <c r="H3" s="4" t="s">
        <v>59</v>
      </c>
      <c r="I3" s="4" t="s">
        <v>60</v>
      </c>
      <c r="J3" s="5"/>
      <c r="K3" s="4"/>
      <c r="L3" s="4"/>
      <c r="M3" s="4"/>
      <c r="N3" s="4"/>
      <c r="O3" s="4"/>
      <c r="P3" s="4"/>
      <c r="Q3" s="4"/>
      <c r="R3" s="4"/>
      <c r="S3" s="5"/>
    </row>
    <row r="4" spans="1:20" x14ac:dyDescent="0.5">
      <c r="A4" s="3"/>
      <c r="B4" s="2"/>
      <c r="C4" s="4"/>
      <c r="D4" s="4"/>
      <c r="E4" s="6" t="s">
        <v>19</v>
      </c>
      <c r="F4" s="7" t="s">
        <v>5</v>
      </c>
      <c r="G4" s="4"/>
      <c r="H4" s="4"/>
      <c r="I4" s="4"/>
      <c r="J4" s="5"/>
      <c r="K4" s="4"/>
      <c r="L4" s="4"/>
      <c r="M4" s="6" t="s">
        <v>20</v>
      </c>
      <c r="N4" s="7" t="s">
        <v>5</v>
      </c>
      <c r="O4" s="4">
        <v>1480</v>
      </c>
      <c r="P4" s="4"/>
      <c r="Q4" s="4"/>
      <c r="R4" s="4"/>
      <c r="S4" s="5"/>
    </row>
    <row r="5" spans="1:20" x14ac:dyDescent="0.5">
      <c r="A5" s="3"/>
      <c r="B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5"/>
    </row>
    <row r="6" spans="1:20" x14ac:dyDescent="0.5">
      <c r="A6" s="3"/>
      <c r="B6" s="2"/>
      <c r="C6" s="7" t="s">
        <v>16</v>
      </c>
      <c r="D6" s="8"/>
      <c r="E6" s="7" t="s">
        <v>17</v>
      </c>
      <c r="F6" s="8"/>
      <c r="G6" s="7"/>
      <c r="H6" s="7" t="s">
        <v>18</v>
      </c>
      <c r="I6" s="7"/>
      <c r="J6" s="5"/>
      <c r="K6" s="7" t="s">
        <v>16</v>
      </c>
      <c r="L6" s="8"/>
      <c r="M6" s="7" t="s">
        <v>17</v>
      </c>
      <c r="N6" s="8"/>
      <c r="O6" s="7"/>
      <c r="P6" s="7" t="s">
        <v>18</v>
      </c>
      <c r="Q6" s="7"/>
      <c r="R6" s="4"/>
      <c r="S6" s="5"/>
    </row>
    <row r="7" spans="1:20" x14ac:dyDescent="0.5">
      <c r="A7" s="3"/>
      <c r="B7" s="2" t="s">
        <v>46</v>
      </c>
      <c r="C7" s="4">
        <v>0</v>
      </c>
      <c r="D7" s="4"/>
      <c r="E7" s="2" t="s">
        <v>0</v>
      </c>
      <c r="F7" s="4">
        <v>1002</v>
      </c>
      <c r="G7" s="4"/>
      <c r="H7" s="2"/>
      <c r="I7" s="4"/>
      <c r="J7" s="5"/>
      <c r="K7" s="4"/>
      <c r="L7" s="4"/>
      <c r="M7" s="2" t="s">
        <v>26</v>
      </c>
      <c r="N7" s="4">
        <v>150</v>
      </c>
      <c r="O7" s="4"/>
      <c r="P7" s="2"/>
      <c r="Q7" s="4"/>
      <c r="R7" s="4"/>
      <c r="S7" s="5"/>
    </row>
    <row r="8" spans="1:20" x14ac:dyDescent="0.5">
      <c r="A8" s="3"/>
      <c r="B8" s="2"/>
      <c r="C8" s="4" t="s">
        <v>63</v>
      </c>
      <c r="D8" s="4"/>
      <c r="E8" s="2"/>
      <c r="F8" s="4"/>
      <c r="G8" s="4"/>
      <c r="H8" s="2"/>
      <c r="I8" s="4"/>
      <c r="J8" s="5"/>
      <c r="K8" s="4"/>
      <c r="L8" s="4"/>
      <c r="M8" s="2" t="s">
        <v>49</v>
      </c>
      <c r="N8" s="4">
        <v>200</v>
      </c>
      <c r="O8" s="4"/>
      <c r="P8" s="2"/>
      <c r="Q8" s="4"/>
      <c r="R8" s="4"/>
      <c r="S8" s="5"/>
      <c r="T8">
        <v>50</v>
      </c>
    </row>
    <row r="9" spans="1:20" x14ac:dyDescent="0.5">
      <c r="A9" s="3"/>
      <c r="B9" s="2" t="s">
        <v>148</v>
      </c>
      <c r="C9" s="4">
        <v>173</v>
      </c>
      <c r="D9" s="4"/>
      <c r="E9" s="2" t="s">
        <v>47</v>
      </c>
      <c r="F9" s="4">
        <v>0</v>
      </c>
      <c r="G9" s="4"/>
      <c r="H9" s="2"/>
      <c r="I9" s="4"/>
      <c r="J9" s="5"/>
      <c r="K9" s="4"/>
      <c r="L9" s="4"/>
      <c r="M9" s="2" t="s">
        <v>50</v>
      </c>
      <c r="N9" s="4">
        <v>200</v>
      </c>
      <c r="O9" s="4"/>
      <c r="P9" s="2"/>
      <c r="Q9" s="4"/>
      <c r="R9" s="4"/>
      <c r="S9" s="5"/>
      <c r="T9">
        <v>200</v>
      </c>
    </row>
    <row r="10" spans="1:20" x14ac:dyDescent="0.5">
      <c r="A10" s="3"/>
      <c r="B10" s="2" t="s">
        <v>149</v>
      </c>
      <c r="C10" s="4">
        <v>763</v>
      </c>
      <c r="D10" s="4"/>
      <c r="E10" s="2" t="s">
        <v>3</v>
      </c>
      <c r="F10" s="4">
        <v>283</v>
      </c>
      <c r="G10" s="4"/>
      <c r="H10" s="2"/>
      <c r="I10" s="4"/>
      <c r="J10" s="5"/>
      <c r="K10" s="4"/>
      <c r="L10" s="4"/>
      <c r="M10" s="2" t="s">
        <v>51</v>
      </c>
      <c r="N10" s="4">
        <v>300</v>
      </c>
      <c r="O10" s="4"/>
      <c r="P10" s="2"/>
      <c r="Q10" s="4"/>
      <c r="R10" s="4"/>
      <c r="S10" s="5"/>
      <c r="T10">
        <v>150</v>
      </c>
    </row>
    <row r="11" spans="1:20" x14ac:dyDescent="0.5">
      <c r="A11" s="3"/>
      <c r="B11" s="2" t="s">
        <v>150</v>
      </c>
      <c r="C11" s="4">
        <v>717</v>
      </c>
      <c r="D11" s="4"/>
      <c r="E11" s="2" t="s">
        <v>1</v>
      </c>
      <c r="F11" s="4">
        <v>157</v>
      </c>
      <c r="G11" s="4"/>
      <c r="J11" s="5"/>
      <c r="K11" s="4"/>
      <c r="L11" s="4"/>
      <c r="M11" s="2" t="s">
        <v>52</v>
      </c>
      <c r="N11" s="4">
        <v>100</v>
      </c>
      <c r="O11" s="4"/>
      <c r="P11" s="2"/>
      <c r="Q11" s="4"/>
      <c r="R11" s="4"/>
      <c r="S11" s="5"/>
      <c r="T11">
        <v>160</v>
      </c>
    </row>
    <row r="12" spans="1:20" x14ac:dyDescent="0.5">
      <c r="A12" s="3"/>
      <c r="B12" s="2" t="s">
        <v>151</v>
      </c>
      <c r="C12" s="4">
        <v>-1000</v>
      </c>
      <c r="D12" s="4"/>
      <c r="E12" s="2" t="s">
        <v>9</v>
      </c>
      <c r="F12" s="4">
        <v>300</v>
      </c>
      <c r="G12" s="4"/>
      <c r="J12" s="5"/>
      <c r="K12" s="4"/>
      <c r="L12" s="4"/>
      <c r="M12" s="2" t="s">
        <v>53</v>
      </c>
      <c r="N12" s="4">
        <v>13</v>
      </c>
      <c r="O12" s="4"/>
      <c r="P12" s="2"/>
      <c r="Q12" s="4"/>
      <c r="R12" s="4"/>
      <c r="S12" s="5"/>
    </row>
    <row r="13" spans="1:20" x14ac:dyDescent="0.5">
      <c r="A13" s="3"/>
      <c r="B13" s="2" t="s">
        <v>133</v>
      </c>
      <c r="C13" s="4">
        <v>686</v>
      </c>
      <c r="D13" s="4"/>
      <c r="E13" s="2" t="s">
        <v>13</v>
      </c>
      <c r="F13" s="4">
        <v>12</v>
      </c>
      <c r="G13" s="4"/>
      <c r="J13" s="5"/>
      <c r="K13" s="4"/>
      <c r="L13" s="4"/>
      <c r="M13" s="2" t="s">
        <v>54</v>
      </c>
      <c r="N13" s="4">
        <v>13</v>
      </c>
      <c r="O13" s="4"/>
      <c r="P13" s="2"/>
      <c r="Q13" s="4"/>
      <c r="R13" s="4"/>
      <c r="S13" s="5"/>
    </row>
    <row r="14" spans="1:20" x14ac:dyDescent="0.5">
      <c r="A14" s="3"/>
      <c r="B14" s="2" t="s">
        <v>155</v>
      </c>
      <c r="C14" s="4">
        <v>-2500</v>
      </c>
      <c r="D14" s="4"/>
      <c r="E14" s="2" t="s">
        <v>14</v>
      </c>
      <c r="F14" s="4">
        <v>13</v>
      </c>
      <c r="G14" s="4"/>
      <c r="J14" s="5"/>
      <c r="K14" s="4"/>
      <c r="L14" s="4"/>
      <c r="M14" s="2"/>
      <c r="N14" s="4"/>
      <c r="O14" s="4"/>
      <c r="P14" s="2"/>
      <c r="Q14" s="4"/>
      <c r="R14" s="4"/>
      <c r="S14" s="5"/>
      <c r="T14">
        <f>SUM(T8:T11)</f>
        <v>560</v>
      </c>
    </row>
    <row r="15" spans="1:20" x14ac:dyDescent="0.5">
      <c r="A15" s="3"/>
      <c r="B15" s="2" t="s">
        <v>155</v>
      </c>
      <c r="C15" s="4">
        <v>-1000</v>
      </c>
      <c r="D15" s="4"/>
      <c r="E15" s="2" t="s">
        <v>48</v>
      </c>
      <c r="F15" s="4">
        <v>450</v>
      </c>
      <c r="G15" s="4"/>
      <c r="H15" s="2"/>
      <c r="I15" s="4"/>
      <c r="J15" s="5"/>
      <c r="K15" s="4"/>
      <c r="L15" s="4"/>
      <c r="M15" s="2"/>
      <c r="N15" s="4"/>
      <c r="O15" s="4"/>
      <c r="P15" s="2"/>
      <c r="Q15" s="4"/>
      <c r="R15" s="4"/>
      <c r="S15" s="5"/>
    </row>
    <row r="16" spans="1:20" x14ac:dyDescent="0.5">
      <c r="A16" s="3"/>
      <c r="B16" s="2"/>
      <c r="C16" s="4"/>
      <c r="D16" s="4"/>
      <c r="E16" s="2" t="s">
        <v>56</v>
      </c>
      <c r="F16" s="4">
        <v>100</v>
      </c>
      <c r="G16" s="4"/>
      <c r="H16" s="4"/>
      <c r="I16" s="4"/>
      <c r="J16" s="5"/>
      <c r="K16" s="4"/>
      <c r="L16" s="4"/>
      <c r="M16" s="2"/>
      <c r="N16" s="4"/>
      <c r="O16" s="4"/>
      <c r="P16" s="4"/>
      <c r="Q16" s="4"/>
      <c r="R16" s="4"/>
      <c r="S16" s="5"/>
    </row>
    <row r="17" spans="1:19" x14ac:dyDescent="0.5">
      <c r="A17" s="3"/>
      <c r="B17" s="2"/>
      <c r="C17" s="4"/>
      <c r="D17" s="4"/>
      <c r="E17" s="2" t="s">
        <v>11</v>
      </c>
      <c r="F17" s="4">
        <v>90</v>
      </c>
      <c r="G17" s="4"/>
      <c r="H17" s="4"/>
      <c r="I17" s="4"/>
      <c r="J17" s="5"/>
      <c r="K17" s="4"/>
      <c r="L17" s="4"/>
      <c r="M17" s="2"/>
      <c r="N17" s="4"/>
      <c r="O17" s="4"/>
      <c r="P17" s="4"/>
      <c r="Q17" s="4"/>
      <c r="R17" s="4"/>
      <c r="S17" s="5"/>
    </row>
    <row r="18" spans="1:19" x14ac:dyDescent="0.5">
      <c r="A18" s="3"/>
      <c r="B18" s="4"/>
      <c r="C18" s="4"/>
      <c r="D18" s="4"/>
      <c r="E18" s="2"/>
      <c r="F18" s="4"/>
      <c r="G18" s="4"/>
      <c r="H18" s="4"/>
      <c r="I18" s="4"/>
      <c r="J18" s="5"/>
      <c r="K18" s="4"/>
      <c r="L18" s="4"/>
      <c r="M18" s="4"/>
      <c r="N18" s="4"/>
      <c r="O18" s="4"/>
      <c r="P18" s="4"/>
      <c r="Q18" s="4"/>
      <c r="R18" s="4"/>
      <c r="S18" s="5"/>
    </row>
    <row r="19" spans="1:19" x14ac:dyDescent="0.5">
      <c r="A19" s="3"/>
      <c r="B19" s="4"/>
      <c r="C19" s="4"/>
      <c r="D19" s="4"/>
      <c r="E19" s="4"/>
      <c r="F19" s="4"/>
      <c r="G19" s="4"/>
      <c r="H19" s="4"/>
      <c r="I19" s="4"/>
      <c r="J19" s="5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5">
      <c r="A20" s="3"/>
      <c r="B20" s="4"/>
      <c r="C20" s="4"/>
      <c r="D20" s="4"/>
      <c r="G20" s="4"/>
      <c r="H20" s="4"/>
      <c r="I20" s="4"/>
      <c r="J20" s="5"/>
      <c r="K20" s="4"/>
      <c r="L20" s="4"/>
      <c r="M20" s="4"/>
      <c r="N20" s="4"/>
      <c r="O20" s="4"/>
      <c r="P20" s="4"/>
      <c r="Q20" s="4"/>
      <c r="R20" s="4"/>
      <c r="S20" s="5"/>
    </row>
    <row r="21" spans="1:19" x14ac:dyDescent="0.5">
      <c r="A21" s="3"/>
      <c r="B21" s="7" t="s">
        <v>4</v>
      </c>
      <c r="C21" s="4">
        <f>SUM(C7:C18)</f>
        <v>-2161</v>
      </c>
      <c r="D21" s="4"/>
      <c r="E21" s="4"/>
      <c r="F21" s="4">
        <f>SUM(F7:F19)+100</f>
        <v>2507</v>
      </c>
      <c r="G21" s="4"/>
      <c r="H21" s="4"/>
      <c r="I21" s="4">
        <f>SUM(I7:I18)</f>
        <v>0</v>
      </c>
      <c r="J21" s="5"/>
      <c r="K21" s="4"/>
      <c r="L21" s="4"/>
      <c r="M21" s="4"/>
      <c r="N21" s="4">
        <f>SUM(N7:N18)</f>
        <v>976</v>
      </c>
      <c r="O21" s="4"/>
      <c r="P21" s="4"/>
      <c r="Q21" s="4">
        <f>SUM(Q7:Q17)</f>
        <v>0</v>
      </c>
      <c r="R21" s="4"/>
      <c r="S21" s="5"/>
    </row>
    <row r="22" spans="1:19" x14ac:dyDescent="0.5">
      <c r="A22" s="3"/>
      <c r="B22" s="4"/>
      <c r="C22" s="4"/>
      <c r="D22" s="4"/>
      <c r="E22" s="4"/>
      <c r="F22" s="4"/>
      <c r="G22" s="4"/>
      <c r="H22" s="4"/>
      <c r="I22" s="4"/>
      <c r="J22" s="5"/>
      <c r="K22" s="4"/>
      <c r="L22" s="4"/>
      <c r="M22" s="4"/>
      <c r="N22" s="4"/>
      <c r="O22" s="4"/>
      <c r="P22" s="4"/>
      <c r="Q22" s="4"/>
      <c r="R22" s="4"/>
      <c r="S22" s="5"/>
    </row>
    <row r="23" spans="1:19" x14ac:dyDescent="0.5">
      <c r="A23" s="3"/>
      <c r="B23" s="4"/>
      <c r="C23" s="4"/>
      <c r="D23" s="4"/>
      <c r="E23" s="4"/>
      <c r="F23" s="4"/>
      <c r="G23" s="4"/>
      <c r="H23" s="4"/>
      <c r="I23" s="4"/>
      <c r="J23" s="5"/>
      <c r="K23" s="4"/>
      <c r="L23" s="4"/>
      <c r="M23" s="4"/>
      <c r="N23" s="4"/>
      <c r="O23" s="4"/>
      <c r="P23" s="4"/>
      <c r="Q23" s="4"/>
      <c r="R23" s="4"/>
      <c r="S23" s="5"/>
    </row>
    <row r="24" spans="1:19" x14ac:dyDescent="0.5">
      <c r="A24" s="3"/>
      <c r="B24" s="4"/>
      <c r="C24" s="4"/>
      <c r="D24" s="4"/>
      <c r="E24" s="4"/>
      <c r="F24" s="4"/>
      <c r="G24" s="4"/>
      <c r="H24" s="4"/>
      <c r="I24" s="4"/>
      <c r="J24" s="5"/>
      <c r="K24" s="4"/>
      <c r="L24" s="4"/>
      <c r="M24" s="4"/>
      <c r="N24" s="4"/>
      <c r="O24" s="4"/>
      <c r="P24" s="4"/>
      <c r="Q24" s="4"/>
      <c r="R24" s="4"/>
      <c r="S24" s="5"/>
    </row>
    <row r="25" spans="1:19" x14ac:dyDescent="0.5">
      <c r="A25" s="3"/>
      <c r="B25" s="4"/>
      <c r="C25" s="7" t="s">
        <v>8</v>
      </c>
      <c r="D25" s="4">
        <f>C21+F21+I21</f>
        <v>346</v>
      </c>
      <c r="E25" s="4"/>
      <c r="F25" s="4"/>
      <c r="G25" s="4"/>
      <c r="H25" s="4"/>
      <c r="I25" s="4"/>
      <c r="J25" s="5"/>
      <c r="K25" s="7" t="s">
        <v>4</v>
      </c>
      <c r="L25" s="4"/>
      <c r="M25" s="4"/>
      <c r="N25" s="4"/>
      <c r="O25" s="4"/>
      <c r="P25" s="4">
        <f>N21+Q21</f>
        <v>976</v>
      </c>
      <c r="Q25" s="4"/>
      <c r="R25" s="4"/>
      <c r="S25" s="5"/>
    </row>
    <row r="26" spans="1:19" x14ac:dyDescent="0.5">
      <c r="A26" s="3"/>
      <c r="B26" s="4"/>
      <c r="C26" s="4"/>
      <c r="D26" s="4"/>
      <c r="E26" s="4"/>
      <c r="F26" s="4"/>
      <c r="G26" s="4"/>
      <c r="H26" s="4"/>
      <c r="I26" s="4"/>
      <c r="J26" s="5"/>
      <c r="K26" s="4"/>
      <c r="L26" s="4"/>
      <c r="M26" s="4"/>
      <c r="N26" s="4"/>
      <c r="O26" s="4"/>
      <c r="P26" s="4"/>
      <c r="Q26" s="4"/>
      <c r="R26" s="4"/>
      <c r="S26" s="5"/>
    </row>
    <row r="27" spans="1:19" x14ac:dyDescent="0.5">
      <c r="A27" s="3"/>
      <c r="B27" s="4"/>
      <c r="C27" s="4"/>
      <c r="D27" s="4"/>
      <c r="E27" s="4"/>
      <c r="F27" s="4"/>
      <c r="G27" s="4"/>
      <c r="H27" s="4"/>
      <c r="I27" s="4"/>
      <c r="J27" s="5"/>
      <c r="K27" s="4"/>
      <c r="L27" s="4"/>
      <c r="M27" s="4"/>
      <c r="N27" s="4"/>
      <c r="O27" s="4"/>
      <c r="P27" s="4"/>
      <c r="Q27" s="4"/>
      <c r="R27" s="4"/>
      <c r="S27" s="5"/>
    </row>
    <row r="28" spans="1:19" x14ac:dyDescent="0.5">
      <c r="A28" s="3"/>
      <c r="B28" s="7" t="s">
        <v>74</v>
      </c>
      <c r="C28" s="4">
        <f>G4-D25</f>
        <v>-346</v>
      </c>
      <c r="D28" s="4"/>
      <c r="E28" s="4"/>
      <c r="F28" s="4"/>
      <c r="G28" s="4"/>
      <c r="H28" s="4"/>
      <c r="I28" s="4"/>
      <c r="J28" s="5"/>
      <c r="K28" s="7" t="s">
        <v>21</v>
      </c>
      <c r="L28" s="4">
        <f>O4-P25</f>
        <v>504</v>
      </c>
      <c r="M28" s="4"/>
      <c r="N28" s="4"/>
      <c r="O28" s="4"/>
      <c r="P28" s="4"/>
      <c r="Q28" s="4"/>
      <c r="R28" s="4"/>
      <c r="S28" s="5"/>
    </row>
    <row r="29" spans="1:19" x14ac:dyDescent="0.5">
      <c r="A29" s="3"/>
      <c r="B29" s="4"/>
      <c r="C29" s="4"/>
      <c r="D29" s="4"/>
      <c r="E29" s="4"/>
      <c r="F29" s="4"/>
      <c r="G29" s="4"/>
      <c r="H29" s="4"/>
      <c r="I29" s="4"/>
      <c r="J29" s="5"/>
      <c r="K29" s="4"/>
      <c r="L29" s="4"/>
      <c r="M29" s="4"/>
      <c r="N29" s="4"/>
      <c r="O29" s="4"/>
      <c r="P29" s="4"/>
      <c r="Q29" s="4"/>
      <c r="R29" s="4"/>
      <c r="S29" s="5"/>
    </row>
    <row r="30" spans="1:19" x14ac:dyDescent="0.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5">
      <c r="A33" s="2"/>
      <c r="B33" s="7" t="s">
        <v>25</v>
      </c>
      <c r="C33" s="4"/>
      <c r="D33" s="4"/>
      <c r="E33" s="4"/>
      <c r="F33" s="4"/>
      <c r="G33" s="4"/>
      <c r="H33" s="4"/>
      <c r="I33" s="4"/>
      <c r="J33" s="4">
        <f>C28+L28</f>
        <v>158</v>
      </c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5">
      <c r="A34" s="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61" spans="2:3" x14ac:dyDescent="0.5">
      <c r="B61" s="7" t="s">
        <v>2</v>
      </c>
      <c r="C61" s="4">
        <v>1900</v>
      </c>
    </row>
    <row r="97" spans="2:16" x14ac:dyDescent="0.5">
      <c r="B97">
        <v>3000</v>
      </c>
    </row>
    <row r="98" spans="2:16" x14ac:dyDescent="0.5">
      <c r="B98">
        <v>2500</v>
      </c>
      <c r="J98">
        <v>3000</v>
      </c>
    </row>
    <row r="99" spans="2:16" x14ac:dyDescent="0.5">
      <c r="B99">
        <v>2500</v>
      </c>
      <c r="J99">
        <v>600</v>
      </c>
    </row>
    <row r="100" spans="2:16" x14ac:dyDescent="0.5">
      <c r="B100">
        <v>800</v>
      </c>
    </row>
    <row r="101" spans="2:16" x14ac:dyDescent="0.5">
      <c r="B101">
        <v>700</v>
      </c>
    </row>
    <row r="105" spans="2:16" x14ac:dyDescent="0.5">
      <c r="B105">
        <f>SUM(B97:B101)</f>
        <v>9500</v>
      </c>
      <c r="D105">
        <f>B105-7000</f>
        <v>2500</v>
      </c>
    </row>
    <row r="106" spans="2:16" x14ac:dyDescent="0.5">
      <c r="P106">
        <v>126</v>
      </c>
    </row>
    <row r="107" spans="2:16" x14ac:dyDescent="0.5">
      <c r="P107" s="4">
        <v>12</v>
      </c>
    </row>
    <row r="108" spans="2:16" x14ac:dyDescent="0.5">
      <c r="P108" s="4">
        <v>10</v>
      </c>
    </row>
    <row r="109" spans="2:16" x14ac:dyDescent="0.5">
      <c r="P109" s="4">
        <v>20</v>
      </c>
    </row>
    <row r="110" spans="2:16" x14ac:dyDescent="0.5">
      <c r="P110" s="4">
        <v>20</v>
      </c>
    </row>
    <row r="111" spans="2:16" x14ac:dyDescent="0.5">
      <c r="P111" s="4">
        <v>20</v>
      </c>
    </row>
    <row r="112" spans="2:16" x14ac:dyDescent="0.5">
      <c r="P112" s="4">
        <v>3.99</v>
      </c>
    </row>
    <row r="113" spans="5:16" x14ac:dyDescent="0.5">
      <c r="P113" s="4">
        <v>100</v>
      </c>
    </row>
    <row r="114" spans="5:16" x14ac:dyDescent="0.5">
      <c r="E114">
        <v>1400</v>
      </c>
      <c r="P114" s="4">
        <v>75</v>
      </c>
    </row>
    <row r="115" spans="5:16" x14ac:dyDescent="0.5">
      <c r="E115">
        <v>1300</v>
      </c>
      <c r="P115" s="4">
        <v>60</v>
      </c>
    </row>
    <row r="116" spans="5:16" x14ac:dyDescent="0.5">
      <c r="E116">
        <v>950</v>
      </c>
      <c r="P116" s="4"/>
    </row>
    <row r="117" spans="5:16" x14ac:dyDescent="0.5">
      <c r="P117" s="4">
        <v>70</v>
      </c>
    </row>
    <row r="120" spans="5:16" x14ac:dyDescent="0.5">
      <c r="E120">
        <f>SUM(E114:E118)</f>
        <v>3650</v>
      </c>
    </row>
    <row r="124" spans="5:16" x14ac:dyDescent="0.5">
      <c r="P124">
        <f>SUM(P104:P121)</f>
        <v>516.99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7AF8C-947E-4356-B4C4-480E7AC7BE5D}">
  <sheetPr codeName="Feuil8"/>
  <dimension ref="A1:T124"/>
  <sheetViews>
    <sheetView topLeftCell="A18" workbookViewId="0">
      <selection activeCell="C18" sqref="C18"/>
    </sheetView>
  </sheetViews>
  <sheetFormatPr baseColWidth="10" defaultRowHeight="15.75" x14ac:dyDescent="0.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0" x14ac:dyDescent="0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x14ac:dyDescent="0.5">
      <c r="A3" s="3"/>
      <c r="B3" s="2"/>
      <c r="C3" s="4"/>
      <c r="D3" s="4"/>
      <c r="E3" s="4"/>
      <c r="F3" s="4"/>
      <c r="G3" s="4"/>
      <c r="H3" s="4" t="s">
        <v>59</v>
      </c>
      <c r="I3" s="4" t="s">
        <v>60</v>
      </c>
      <c r="J3" s="5"/>
      <c r="K3" s="4"/>
      <c r="L3" s="4"/>
      <c r="M3" s="4"/>
      <c r="N3" s="4"/>
      <c r="O3" s="4"/>
      <c r="P3" s="4"/>
      <c r="Q3" s="4"/>
      <c r="R3" s="4"/>
      <c r="S3" s="5"/>
    </row>
    <row r="4" spans="1:20" x14ac:dyDescent="0.5">
      <c r="A4" s="3"/>
      <c r="B4" s="2"/>
      <c r="C4" s="4"/>
      <c r="D4" s="4"/>
      <c r="E4" s="6" t="s">
        <v>19</v>
      </c>
      <c r="F4" s="7" t="s">
        <v>5</v>
      </c>
      <c r="G4" s="4"/>
      <c r="H4" s="4"/>
      <c r="I4" s="4"/>
      <c r="J4" s="5"/>
      <c r="K4" s="4"/>
      <c r="L4" s="4"/>
      <c r="M4" s="6" t="s">
        <v>20</v>
      </c>
      <c r="N4" s="7" t="s">
        <v>5</v>
      </c>
      <c r="O4" s="4">
        <v>1480</v>
      </c>
      <c r="P4" s="4"/>
      <c r="Q4" s="4"/>
      <c r="R4" s="4"/>
      <c r="S4" s="5"/>
    </row>
    <row r="5" spans="1:20" x14ac:dyDescent="0.5">
      <c r="A5" s="3"/>
      <c r="B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5"/>
    </row>
    <row r="6" spans="1:20" x14ac:dyDescent="0.5">
      <c r="A6" s="3"/>
      <c r="B6" s="2"/>
      <c r="C6" s="7" t="s">
        <v>16</v>
      </c>
      <c r="D6" s="8"/>
      <c r="E6" s="7" t="s">
        <v>17</v>
      </c>
      <c r="F6" s="8"/>
      <c r="G6" s="7"/>
      <c r="H6" s="7" t="s">
        <v>18</v>
      </c>
      <c r="I6" s="7"/>
      <c r="J6" s="5"/>
      <c r="K6" s="7" t="s">
        <v>16</v>
      </c>
      <c r="L6" s="8"/>
      <c r="M6" s="7" t="s">
        <v>17</v>
      </c>
      <c r="N6" s="8"/>
      <c r="O6" s="7"/>
      <c r="P6" s="7" t="s">
        <v>18</v>
      </c>
      <c r="Q6" s="7"/>
      <c r="R6" s="4"/>
      <c r="S6" s="5"/>
    </row>
    <row r="7" spans="1:20" x14ac:dyDescent="0.5">
      <c r="A7" s="3"/>
      <c r="B7" s="2" t="s">
        <v>46</v>
      </c>
      <c r="C7" s="4">
        <v>0</v>
      </c>
      <c r="D7" s="4"/>
      <c r="E7" s="2" t="s">
        <v>0</v>
      </c>
      <c r="F7" s="4">
        <v>1002</v>
      </c>
      <c r="G7" s="4"/>
      <c r="H7" s="2"/>
      <c r="I7" s="4"/>
      <c r="J7" s="5"/>
      <c r="K7" s="4"/>
      <c r="L7" s="4"/>
      <c r="M7" s="2" t="s">
        <v>26</v>
      </c>
      <c r="N7" s="4">
        <v>150</v>
      </c>
      <c r="O7" s="4"/>
      <c r="P7" s="2"/>
      <c r="Q7" s="4"/>
      <c r="R7" s="4"/>
      <c r="S7" s="5"/>
    </row>
    <row r="8" spans="1:20" x14ac:dyDescent="0.5">
      <c r="A8" s="3"/>
      <c r="B8" s="2"/>
      <c r="C8" s="4" t="s">
        <v>63</v>
      </c>
      <c r="D8" s="4"/>
      <c r="E8" s="2"/>
      <c r="F8" s="4"/>
      <c r="G8" s="4"/>
      <c r="H8" s="2"/>
      <c r="I8" s="4"/>
      <c r="J8" s="5"/>
      <c r="K8" s="4"/>
      <c r="L8" s="4"/>
      <c r="M8" s="2" t="s">
        <v>49</v>
      </c>
      <c r="N8" s="4">
        <v>200</v>
      </c>
      <c r="O8" s="4"/>
      <c r="P8" s="2"/>
      <c r="Q8" s="4"/>
      <c r="R8" s="4"/>
      <c r="S8" s="5"/>
      <c r="T8">
        <v>50</v>
      </c>
    </row>
    <row r="9" spans="1:20" x14ac:dyDescent="0.5">
      <c r="A9" s="3"/>
      <c r="B9" s="2" t="s">
        <v>162</v>
      </c>
      <c r="C9" s="4">
        <v>350</v>
      </c>
      <c r="D9" s="4"/>
      <c r="E9" s="2" t="s">
        <v>47</v>
      </c>
      <c r="F9" s="4">
        <v>0</v>
      </c>
      <c r="G9" s="4"/>
      <c r="H9" s="2"/>
      <c r="I9" s="4"/>
      <c r="J9" s="5"/>
      <c r="K9" s="4"/>
      <c r="L9" s="4"/>
      <c r="M9" s="2" t="s">
        <v>50</v>
      </c>
      <c r="N9" s="4">
        <v>200</v>
      </c>
      <c r="O9" s="4"/>
      <c r="P9" s="2"/>
      <c r="Q9" s="4"/>
      <c r="R9" s="4"/>
      <c r="S9" s="5"/>
      <c r="T9">
        <v>200</v>
      </c>
    </row>
    <row r="10" spans="1:20" x14ac:dyDescent="0.5">
      <c r="A10" s="3"/>
      <c r="B10" s="2" t="s">
        <v>163</v>
      </c>
      <c r="C10" s="4">
        <v>80</v>
      </c>
      <c r="D10" s="4"/>
      <c r="E10" s="2" t="s">
        <v>3</v>
      </c>
      <c r="F10" s="4">
        <v>283</v>
      </c>
      <c r="G10" s="4"/>
      <c r="H10" s="2"/>
      <c r="I10" s="4"/>
      <c r="J10" s="5"/>
      <c r="K10" s="4"/>
      <c r="L10" s="4"/>
      <c r="M10" s="2" t="s">
        <v>51</v>
      </c>
      <c r="N10" s="4">
        <v>300</v>
      </c>
      <c r="O10" s="4"/>
      <c r="P10" s="2"/>
      <c r="Q10" s="4"/>
      <c r="R10" s="4"/>
      <c r="S10" s="5"/>
      <c r="T10">
        <v>150</v>
      </c>
    </row>
    <row r="11" spans="1:20" x14ac:dyDescent="0.5">
      <c r="A11" s="3"/>
      <c r="B11" s="2" t="s">
        <v>164</v>
      </c>
      <c r="C11" s="4">
        <v>123</v>
      </c>
      <c r="D11" s="4"/>
      <c r="E11" s="2" t="s">
        <v>1</v>
      </c>
      <c r="F11" s="4">
        <v>157</v>
      </c>
      <c r="G11" s="4"/>
      <c r="J11" s="5"/>
      <c r="K11" s="4"/>
      <c r="L11" s="4"/>
      <c r="M11" s="2" t="s">
        <v>52</v>
      </c>
      <c r="N11" s="4">
        <v>100</v>
      </c>
      <c r="O11" s="4"/>
      <c r="P11" s="2"/>
      <c r="Q11" s="4"/>
      <c r="R11" s="4"/>
      <c r="S11" s="5"/>
      <c r="T11">
        <v>160</v>
      </c>
    </row>
    <row r="12" spans="1:20" x14ac:dyDescent="0.5">
      <c r="A12" s="3"/>
      <c r="B12" s="2" t="s">
        <v>165</v>
      </c>
      <c r="C12" s="4">
        <v>191</v>
      </c>
      <c r="D12" s="4"/>
      <c r="E12" s="2" t="s">
        <v>9</v>
      </c>
      <c r="F12" s="4">
        <v>300</v>
      </c>
      <c r="G12" s="4"/>
      <c r="J12" s="5"/>
      <c r="K12" s="4"/>
      <c r="L12" s="4"/>
      <c r="M12" s="2" t="s">
        <v>53</v>
      </c>
      <c r="N12" s="4">
        <v>13</v>
      </c>
      <c r="O12" s="4"/>
      <c r="P12" s="2"/>
      <c r="Q12" s="4"/>
      <c r="R12" s="4"/>
      <c r="S12" s="5"/>
    </row>
    <row r="13" spans="1:20" x14ac:dyDescent="0.5">
      <c r="A13" s="3"/>
      <c r="B13" s="2" t="s">
        <v>169</v>
      </c>
      <c r="C13" s="4">
        <v>-3500</v>
      </c>
      <c r="D13" s="4"/>
      <c r="E13" s="2" t="s">
        <v>13</v>
      </c>
      <c r="F13" s="4">
        <v>12</v>
      </c>
      <c r="G13" s="4"/>
      <c r="J13" s="5"/>
      <c r="K13" s="4"/>
      <c r="L13" s="4"/>
      <c r="M13" s="2" t="s">
        <v>54</v>
      </c>
      <c r="N13" s="4">
        <v>13</v>
      </c>
      <c r="O13" s="4"/>
      <c r="P13" s="2"/>
      <c r="Q13" s="4"/>
      <c r="R13" s="4"/>
      <c r="S13" s="5"/>
    </row>
    <row r="14" spans="1:20" x14ac:dyDescent="0.5">
      <c r="A14" s="3"/>
      <c r="B14" s="2" t="s">
        <v>169</v>
      </c>
      <c r="C14" s="4">
        <v>-2000</v>
      </c>
      <c r="D14" s="4"/>
      <c r="E14" s="2" t="s">
        <v>14</v>
      </c>
      <c r="F14" s="4">
        <v>13</v>
      </c>
      <c r="G14" s="4"/>
      <c r="J14" s="5"/>
      <c r="K14" s="4"/>
      <c r="L14" s="4"/>
      <c r="M14" s="2"/>
      <c r="N14" s="4"/>
      <c r="O14" s="4"/>
      <c r="P14" s="2"/>
      <c r="Q14" s="4"/>
      <c r="R14" s="4"/>
      <c r="S14" s="5"/>
      <c r="T14">
        <f>SUM(T8:T11)</f>
        <v>560</v>
      </c>
    </row>
    <row r="15" spans="1:20" x14ac:dyDescent="0.5">
      <c r="A15" s="3"/>
      <c r="B15" s="2" t="s">
        <v>170</v>
      </c>
      <c r="C15" s="4">
        <v>1250</v>
      </c>
      <c r="D15" s="4"/>
      <c r="E15" s="2" t="s">
        <v>48</v>
      </c>
      <c r="F15" s="4">
        <v>450</v>
      </c>
      <c r="G15" s="4"/>
      <c r="H15" s="2"/>
      <c r="I15" s="4"/>
      <c r="J15" s="5"/>
      <c r="K15" s="4"/>
      <c r="L15" s="4"/>
      <c r="M15" s="2"/>
      <c r="N15" s="4"/>
      <c r="O15" s="4"/>
      <c r="P15" s="2"/>
      <c r="Q15" s="4"/>
      <c r="R15" s="4"/>
      <c r="S15" s="5"/>
    </row>
    <row r="16" spans="1:20" x14ac:dyDescent="0.5">
      <c r="A16" s="3"/>
      <c r="B16" s="2" t="s">
        <v>2</v>
      </c>
      <c r="C16" s="4">
        <v>1000</v>
      </c>
      <c r="D16" s="4"/>
      <c r="E16" s="2" t="s">
        <v>56</v>
      </c>
      <c r="F16" s="4">
        <v>100</v>
      </c>
      <c r="G16" s="4"/>
      <c r="H16" s="4"/>
      <c r="I16" s="4"/>
      <c r="J16" s="5"/>
      <c r="K16" s="4"/>
      <c r="L16" s="4"/>
      <c r="M16" s="2"/>
      <c r="N16" s="4"/>
      <c r="O16" s="4"/>
      <c r="P16" s="4"/>
      <c r="Q16" s="4"/>
      <c r="R16" s="4"/>
      <c r="S16" s="5"/>
    </row>
    <row r="17" spans="1:19" x14ac:dyDescent="0.5">
      <c r="A17" s="3"/>
      <c r="B17" s="2" t="s">
        <v>61</v>
      </c>
      <c r="C17" s="4"/>
      <c r="D17" s="4"/>
      <c r="E17" s="2" t="s">
        <v>11</v>
      </c>
      <c r="F17" s="4">
        <v>90</v>
      </c>
      <c r="G17" s="4"/>
      <c r="H17" s="4"/>
      <c r="I17" s="4"/>
      <c r="J17" s="5"/>
      <c r="K17" s="4"/>
      <c r="L17" s="4"/>
      <c r="M17" s="2"/>
      <c r="N17" s="4"/>
      <c r="O17" s="4"/>
      <c r="P17" s="4"/>
      <c r="Q17" s="4"/>
      <c r="R17" s="4"/>
      <c r="S17" s="5"/>
    </row>
    <row r="18" spans="1:19" x14ac:dyDescent="0.5">
      <c r="A18" s="3"/>
      <c r="B18" s="4" t="s">
        <v>12</v>
      </c>
      <c r="C18" s="4"/>
      <c r="D18" s="4"/>
      <c r="E18" s="2"/>
      <c r="F18" s="4"/>
      <c r="G18" s="4"/>
      <c r="H18" s="4"/>
      <c r="I18" s="4"/>
      <c r="J18" s="5"/>
      <c r="K18" s="4"/>
      <c r="L18" s="4"/>
      <c r="M18" s="4"/>
      <c r="N18" s="4"/>
      <c r="O18" s="4"/>
      <c r="P18" s="4"/>
      <c r="Q18" s="4"/>
      <c r="R18" s="4"/>
      <c r="S18" s="5"/>
    </row>
    <row r="19" spans="1:19" x14ac:dyDescent="0.5">
      <c r="A19" s="3"/>
      <c r="B19" s="4"/>
      <c r="C19" s="4"/>
      <c r="D19" s="4"/>
      <c r="E19" s="4"/>
      <c r="F19" s="4"/>
      <c r="G19" s="4"/>
      <c r="H19" s="4"/>
      <c r="I19" s="4"/>
      <c r="J19" s="5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5">
      <c r="A20" s="3"/>
      <c r="B20" s="4"/>
      <c r="C20" s="4"/>
      <c r="D20" s="4"/>
      <c r="G20" s="4"/>
      <c r="H20" s="4"/>
      <c r="I20" s="4"/>
      <c r="J20" s="5"/>
      <c r="K20" s="4"/>
      <c r="L20" s="4"/>
      <c r="M20" s="4"/>
      <c r="N20" s="4"/>
      <c r="O20" s="4"/>
      <c r="P20" s="4"/>
      <c r="Q20" s="4"/>
      <c r="R20" s="4"/>
      <c r="S20" s="5"/>
    </row>
    <row r="21" spans="1:19" x14ac:dyDescent="0.5">
      <c r="A21" s="3"/>
      <c r="B21" s="7" t="s">
        <v>4</v>
      </c>
      <c r="C21" s="4">
        <f>SUM(C7:C18)</f>
        <v>-2506</v>
      </c>
      <c r="D21" s="4"/>
      <c r="E21" s="4"/>
      <c r="F21" s="4">
        <f>SUM(F7:F19)+100</f>
        <v>2507</v>
      </c>
      <c r="G21" s="4"/>
      <c r="H21" s="4"/>
      <c r="I21" s="4">
        <f>SUM(I7:I18)</f>
        <v>0</v>
      </c>
      <c r="J21" s="5"/>
      <c r="K21" s="4"/>
      <c r="L21" s="4"/>
      <c r="M21" s="4"/>
      <c r="N21" s="4">
        <f>SUM(N7:N18)</f>
        <v>976</v>
      </c>
      <c r="O21" s="4"/>
      <c r="P21" s="4"/>
      <c r="Q21" s="4">
        <f>SUM(Q7:Q17)</f>
        <v>0</v>
      </c>
      <c r="R21" s="4"/>
      <c r="S21" s="5"/>
    </row>
    <row r="22" spans="1:19" x14ac:dyDescent="0.5">
      <c r="A22" s="3"/>
      <c r="B22" s="4"/>
      <c r="C22" s="4"/>
      <c r="D22" s="4"/>
      <c r="E22" s="4"/>
      <c r="F22" s="4"/>
      <c r="G22" s="4"/>
      <c r="H22" s="4"/>
      <c r="I22" s="4"/>
      <c r="J22" s="5"/>
      <c r="K22" s="4"/>
      <c r="L22" s="4"/>
      <c r="M22" s="4"/>
      <c r="N22" s="4"/>
      <c r="O22" s="4"/>
      <c r="P22" s="4"/>
      <c r="Q22" s="4"/>
      <c r="R22" s="4"/>
      <c r="S22" s="5"/>
    </row>
    <row r="23" spans="1:19" x14ac:dyDescent="0.5">
      <c r="A23" s="3"/>
      <c r="B23" s="4"/>
      <c r="C23" s="4"/>
      <c r="D23" s="4"/>
      <c r="E23" s="4"/>
      <c r="F23" s="4"/>
      <c r="G23" s="4"/>
      <c r="H23" s="4"/>
      <c r="I23" s="4"/>
      <c r="J23" s="5"/>
      <c r="K23" s="4"/>
      <c r="L23" s="4"/>
      <c r="M23" s="4"/>
      <c r="N23" s="4"/>
      <c r="O23" s="4"/>
      <c r="P23" s="4"/>
      <c r="Q23" s="4"/>
      <c r="R23" s="4"/>
      <c r="S23" s="5"/>
    </row>
    <row r="24" spans="1:19" x14ac:dyDescent="0.5">
      <c r="A24" s="3"/>
      <c r="B24" s="4"/>
      <c r="C24" s="4"/>
      <c r="D24" s="4"/>
      <c r="E24" s="4"/>
      <c r="F24" s="4"/>
      <c r="G24" s="4"/>
      <c r="H24" s="4"/>
      <c r="I24" s="4"/>
      <c r="J24" s="5"/>
      <c r="K24" s="4"/>
      <c r="L24" s="4"/>
      <c r="M24" s="4"/>
      <c r="N24" s="4"/>
      <c r="O24" s="4"/>
      <c r="P24" s="4"/>
      <c r="Q24" s="4"/>
      <c r="R24" s="4"/>
      <c r="S24" s="5"/>
    </row>
    <row r="25" spans="1:19" x14ac:dyDescent="0.5">
      <c r="A25" s="3"/>
      <c r="B25" s="4"/>
      <c r="C25" s="7" t="s">
        <v>8</v>
      </c>
      <c r="D25" s="4">
        <f>C21+F21+I21</f>
        <v>1</v>
      </c>
      <c r="E25" s="4"/>
      <c r="F25" s="4"/>
      <c r="G25" s="4"/>
      <c r="H25" s="4"/>
      <c r="I25" s="4"/>
      <c r="J25" s="5"/>
      <c r="K25" s="7" t="s">
        <v>4</v>
      </c>
      <c r="L25" s="4"/>
      <c r="M25" s="4"/>
      <c r="N25" s="4"/>
      <c r="O25" s="4"/>
      <c r="P25" s="4">
        <f>N21+Q21</f>
        <v>976</v>
      </c>
      <c r="Q25" s="4"/>
      <c r="R25" s="4"/>
      <c r="S25" s="5"/>
    </row>
    <row r="26" spans="1:19" x14ac:dyDescent="0.5">
      <c r="A26" s="3"/>
      <c r="B26" s="4"/>
      <c r="C26" s="4"/>
      <c r="D26" s="4"/>
      <c r="E26" s="4"/>
      <c r="F26" s="4"/>
      <c r="G26" s="4"/>
      <c r="H26" s="4"/>
      <c r="I26" s="4"/>
      <c r="J26" s="5"/>
      <c r="K26" s="4"/>
      <c r="L26" s="4"/>
      <c r="M26" s="4"/>
      <c r="N26" s="4"/>
      <c r="O26" s="4"/>
      <c r="P26" s="4"/>
      <c r="Q26" s="4"/>
      <c r="R26" s="4"/>
      <c r="S26" s="5"/>
    </row>
    <row r="27" spans="1:19" x14ac:dyDescent="0.5">
      <c r="A27" s="3"/>
      <c r="B27" s="4"/>
      <c r="C27" s="4"/>
      <c r="D27" s="4"/>
      <c r="E27" s="4"/>
      <c r="F27" s="4"/>
      <c r="G27" s="4"/>
      <c r="H27" s="4"/>
      <c r="I27" s="4"/>
      <c r="J27" s="5"/>
      <c r="K27" s="4"/>
      <c r="L27" s="4"/>
      <c r="M27" s="4"/>
      <c r="N27" s="4"/>
      <c r="O27" s="4"/>
      <c r="P27" s="4"/>
      <c r="Q27" s="4"/>
      <c r="R27" s="4"/>
      <c r="S27" s="5"/>
    </row>
    <row r="28" spans="1:19" x14ac:dyDescent="0.5">
      <c r="A28" s="3"/>
      <c r="B28" s="7" t="s">
        <v>74</v>
      </c>
      <c r="C28" s="4">
        <f>ABS(G4-D25)</f>
        <v>1</v>
      </c>
      <c r="D28" s="4"/>
      <c r="E28" s="4"/>
      <c r="F28" s="4"/>
      <c r="G28" s="4"/>
      <c r="H28" s="4"/>
      <c r="I28" s="4"/>
      <c r="J28" s="5"/>
      <c r="K28" s="7" t="s">
        <v>21</v>
      </c>
      <c r="L28" s="4">
        <f>O4-P25</f>
        <v>504</v>
      </c>
      <c r="M28" s="4"/>
      <c r="N28" s="4"/>
      <c r="O28" s="4"/>
      <c r="P28" s="4"/>
      <c r="Q28" s="4"/>
      <c r="R28" s="4"/>
      <c r="S28" s="5"/>
    </row>
    <row r="29" spans="1:19" x14ac:dyDescent="0.5">
      <c r="A29" s="3"/>
      <c r="B29" s="4"/>
      <c r="C29" s="4"/>
      <c r="D29" s="4"/>
      <c r="E29" s="4"/>
      <c r="F29" s="4"/>
      <c r="G29" s="4"/>
      <c r="H29" s="4"/>
      <c r="I29" s="4"/>
      <c r="J29" s="5"/>
      <c r="K29" s="4"/>
      <c r="L29" s="4"/>
      <c r="M29" s="4"/>
      <c r="N29" s="4"/>
      <c r="O29" s="4"/>
      <c r="P29" s="4"/>
      <c r="Q29" s="4"/>
      <c r="R29" s="4"/>
      <c r="S29" s="5"/>
    </row>
    <row r="30" spans="1:19" x14ac:dyDescent="0.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5">
      <c r="A33" s="2"/>
      <c r="B33" s="7" t="s">
        <v>25</v>
      </c>
      <c r="C33" s="4"/>
      <c r="D33" s="4"/>
      <c r="E33" s="4"/>
      <c r="F33" s="4"/>
      <c r="G33" s="4"/>
      <c r="H33" s="4"/>
      <c r="I33" s="4"/>
      <c r="J33" s="4">
        <f>C28+L28</f>
        <v>505</v>
      </c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5">
      <c r="A34" s="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61" spans="2:3" x14ac:dyDescent="0.5">
      <c r="B61" s="7" t="s">
        <v>2</v>
      </c>
      <c r="C61" s="4">
        <v>1900</v>
      </c>
    </row>
    <row r="97" spans="2:16" x14ac:dyDescent="0.5">
      <c r="B97">
        <v>3000</v>
      </c>
    </row>
    <row r="98" spans="2:16" x14ac:dyDescent="0.5">
      <c r="B98">
        <v>2500</v>
      </c>
      <c r="J98">
        <v>3000</v>
      </c>
    </row>
    <row r="99" spans="2:16" x14ac:dyDescent="0.5">
      <c r="B99">
        <v>2500</v>
      </c>
      <c r="J99">
        <v>600</v>
      </c>
    </row>
    <row r="100" spans="2:16" x14ac:dyDescent="0.5">
      <c r="B100">
        <v>800</v>
      </c>
    </row>
    <row r="101" spans="2:16" x14ac:dyDescent="0.5">
      <c r="B101">
        <v>700</v>
      </c>
    </row>
    <row r="105" spans="2:16" x14ac:dyDescent="0.5">
      <c r="B105">
        <f>SUM(B97:B101)</f>
        <v>9500</v>
      </c>
      <c r="D105">
        <f>B105-7000</f>
        <v>2500</v>
      </c>
    </row>
    <row r="106" spans="2:16" x14ac:dyDescent="0.5">
      <c r="P106">
        <v>126</v>
      </c>
    </row>
    <row r="107" spans="2:16" x14ac:dyDescent="0.5">
      <c r="P107" s="4">
        <v>12</v>
      </c>
    </row>
    <row r="108" spans="2:16" x14ac:dyDescent="0.5">
      <c r="P108" s="4">
        <v>10</v>
      </c>
    </row>
    <row r="109" spans="2:16" x14ac:dyDescent="0.5">
      <c r="P109" s="4">
        <v>20</v>
      </c>
    </row>
    <row r="110" spans="2:16" x14ac:dyDescent="0.5">
      <c r="P110" s="4">
        <v>20</v>
      </c>
    </row>
    <row r="111" spans="2:16" x14ac:dyDescent="0.5">
      <c r="P111" s="4">
        <v>20</v>
      </c>
    </row>
    <row r="112" spans="2:16" x14ac:dyDescent="0.5">
      <c r="P112" s="4">
        <v>3.99</v>
      </c>
    </row>
    <row r="113" spans="5:16" x14ac:dyDescent="0.5">
      <c r="P113" s="4">
        <v>100</v>
      </c>
    </row>
    <row r="114" spans="5:16" x14ac:dyDescent="0.5">
      <c r="E114">
        <v>1400</v>
      </c>
      <c r="P114" s="4">
        <v>75</v>
      </c>
    </row>
    <row r="115" spans="5:16" x14ac:dyDescent="0.5">
      <c r="E115">
        <v>1300</v>
      </c>
      <c r="P115" s="4">
        <v>60</v>
      </c>
    </row>
    <row r="116" spans="5:16" x14ac:dyDescent="0.5">
      <c r="E116">
        <v>950</v>
      </c>
      <c r="P116" s="4"/>
    </row>
    <row r="117" spans="5:16" x14ac:dyDescent="0.5">
      <c r="P117" s="4">
        <v>70</v>
      </c>
    </row>
    <row r="120" spans="5:16" x14ac:dyDescent="0.5">
      <c r="E120">
        <f>SUM(E114:E118)</f>
        <v>3650</v>
      </c>
    </row>
    <row r="124" spans="5:16" x14ac:dyDescent="0.5">
      <c r="P124">
        <f>SUM(P104:P121)</f>
        <v>516.99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8CF61-A2D9-42E5-875A-94EAF9A3757F}">
  <sheetPr codeName="Feuil9"/>
  <dimension ref="A1:T124"/>
  <sheetViews>
    <sheetView workbookViewId="0">
      <selection activeCell="C14" sqref="C14"/>
    </sheetView>
  </sheetViews>
  <sheetFormatPr baseColWidth="10" defaultRowHeight="15.75" x14ac:dyDescent="0.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0" x14ac:dyDescent="0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x14ac:dyDescent="0.5">
      <c r="A3" s="3"/>
      <c r="B3" s="2"/>
      <c r="C3" s="4"/>
      <c r="D3" s="4"/>
      <c r="E3" s="4"/>
      <c r="F3" s="4"/>
      <c r="G3" s="4"/>
      <c r="H3" s="4" t="s">
        <v>59</v>
      </c>
      <c r="I3" s="4" t="s">
        <v>60</v>
      </c>
      <c r="J3" s="5"/>
      <c r="K3" s="4"/>
      <c r="L3" s="4"/>
      <c r="M3" s="4"/>
      <c r="N3" s="4"/>
      <c r="O3" s="4"/>
      <c r="P3" s="4"/>
      <c r="Q3" s="4"/>
      <c r="R3" s="4"/>
      <c r="S3" s="5"/>
    </row>
    <row r="4" spans="1:20" x14ac:dyDescent="0.5">
      <c r="A4" s="3"/>
      <c r="B4" s="2"/>
      <c r="C4" s="4"/>
      <c r="D4" s="4"/>
      <c r="E4" s="6" t="s">
        <v>19</v>
      </c>
      <c r="F4" s="7" t="s">
        <v>5</v>
      </c>
      <c r="G4" s="4"/>
      <c r="H4" s="4"/>
      <c r="I4" s="4"/>
      <c r="J4" s="5"/>
      <c r="K4" s="4"/>
      <c r="L4" s="4"/>
      <c r="M4" s="6" t="s">
        <v>20</v>
      </c>
      <c r="N4" s="7" t="s">
        <v>5</v>
      </c>
      <c r="O4" s="4">
        <v>1480</v>
      </c>
      <c r="P4" s="4"/>
      <c r="Q4" s="4"/>
      <c r="R4" s="4"/>
      <c r="S4" s="5"/>
    </row>
    <row r="5" spans="1:20" x14ac:dyDescent="0.5">
      <c r="A5" s="3"/>
      <c r="B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5"/>
    </row>
    <row r="6" spans="1:20" x14ac:dyDescent="0.5">
      <c r="A6" s="3"/>
      <c r="B6" s="2"/>
      <c r="C6" s="7" t="s">
        <v>16</v>
      </c>
      <c r="D6" s="8"/>
      <c r="E6" s="7" t="s">
        <v>17</v>
      </c>
      <c r="F6" s="8"/>
      <c r="G6" s="7"/>
      <c r="H6" s="7" t="s">
        <v>18</v>
      </c>
      <c r="I6" s="7"/>
      <c r="J6" s="5"/>
      <c r="K6" s="7" t="s">
        <v>16</v>
      </c>
      <c r="L6" s="8"/>
      <c r="M6" s="7" t="s">
        <v>17</v>
      </c>
      <c r="N6" s="8"/>
      <c r="O6" s="7"/>
      <c r="P6" s="7" t="s">
        <v>18</v>
      </c>
      <c r="Q6" s="7"/>
      <c r="R6" s="4"/>
      <c r="S6" s="5"/>
    </row>
    <row r="7" spans="1:20" x14ac:dyDescent="0.5">
      <c r="A7" s="3"/>
      <c r="B7" s="2" t="s">
        <v>46</v>
      </c>
      <c r="C7" s="4"/>
      <c r="D7" s="4"/>
      <c r="E7" s="2" t="s">
        <v>0</v>
      </c>
      <c r="F7" s="4">
        <v>1002</v>
      </c>
      <c r="G7" s="4"/>
      <c r="H7" s="2"/>
      <c r="I7" s="4"/>
      <c r="J7" s="5"/>
      <c r="K7" s="4"/>
      <c r="L7" s="4"/>
      <c r="M7" s="2" t="s">
        <v>26</v>
      </c>
      <c r="N7" s="4">
        <v>150</v>
      </c>
      <c r="O7" s="4"/>
      <c r="P7" s="2"/>
      <c r="Q7" s="4"/>
      <c r="R7" s="4"/>
      <c r="S7" s="5"/>
    </row>
    <row r="8" spans="1:20" x14ac:dyDescent="0.5">
      <c r="A8" s="3"/>
      <c r="B8" s="2"/>
      <c r="C8" s="4" t="s">
        <v>63</v>
      </c>
      <c r="D8" s="4"/>
      <c r="E8" s="2"/>
      <c r="F8" s="4"/>
      <c r="G8" s="4"/>
      <c r="H8" s="2"/>
      <c r="I8" s="4"/>
      <c r="J8" s="5"/>
      <c r="K8" s="4"/>
      <c r="L8" s="4"/>
      <c r="M8" s="2" t="s">
        <v>49</v>
      </c>
      <c r="N8" s="4">
        <v>200</v>
      </c>
      <c r="O8" s="4"/>
      <c r="P8" s="2"/>
      <c r="Q8" s="4"/>
      <c r="R8" s="4"/>
      <c r="S8" s="5"/>
      <c r="T8">
        <v>50</v>
      </c>
    </row>
    <row r="9" spans="1:20" x14ac:dyDescent="0.5">
      <c r="A9" s="3"/>
      <c r="B9" s="2" t="s">
        <v>15</v>
      </c>
      <c r="C9" s="4">
        <f>70*6</f>
        <v>420</v>
      </c>
      <c r="D9" s="4"/>
      <c r="E9" s="2" t="s">
        <v>47</v>
      </c>
      <c r="F9" s="4">
        <v>300</v>
      </c>
      <c r="G9" s="4"/>
      <c r="H9" s="2"/>
      <c r="I9" s="4"/>
      <c r="J9" s="5"/>
      <c r="K9" s="4"/>
      <c r="L9" s="4"/>
      <c r="M9" s="2" t="s">
        <v>50</v>
      </c>
      <c r="N9" s="4">
        <v>200</v>
      </c>
      <c r="O9" s="4"/>
      <c r="P9" s="2"/>
      <c r="Q9" s="4"/>
      <c r="R9" s="4"/>
      <c r="S9" s="5"/>
      <c r="T9">
        <v>200</v>
      </c>
    </row>
    <row r="10" spans="1:20" x14ac:dyDescent="0.5">
      <c r="A10" s="3"/>
      <c r="B10" s="2" t="s">
        <v>187</v>
      </c>
      <c r="C10" s="4">
        <v>177</v>
      </c>
      <c r="D10" s="4"/>
      <c r="E10" s="2" t="s">
        <v>3</v>
      </c>
      <c r="F10" s="4">
        <v>283</v>
      </c>
      <c r="G10" s="4"/>
      <c r="H10" s="2"/>
      <c r="I10" s="4"/>
      <c r="J10" s="5"/>
      <c r="K10" s="4"/>
      <c r="L10" s="4"/>
      <c r="M10" s="2" t="s">
        <v>51</v>
      </c>
      <c r="N10" s="4">
        <v>300</v>
      </c>
      <c r="O10" s="4"/>
      <c r="P10" s="2"/>
      <c r="Q10" s="4"/>
      <c r="R10" s="4"/>
      <c r="S10" s="5"/>
      <c r="T10">
        <v>150</v>
      </c>
    </row>
    <row r="11" spans="1:20" x14ac:dyDescent="0.5">
      <c r="A11" s="3"/>
      <c r="B11" s="2" t="s">
        <v>189</v>
      </c>
      <c r="C11" s="4">
        <v>200</v>
      </c>
      <c r="D11" s="4"/>
      <c r="E11" s="2" t="s">
        <v>1</v>
      </c>
      <c r="F11" s="4">
        <v>157</v>
      </c>
      <c r="G11" s="4"/>
      <c r="J11" s="5"/>
      <c r="K11" s="4"/>
      <c r="L11" s="4"/>
      <c r="M11" s="2" t="s">
        <v>52</v>
      </c>
      <c r="N11" s="4">
        <v>100</v>
      </c>
      <c r="O11" s="4"/>
      <c r="P11" s="2"/>
      <c r="Q11" s="4"/>
      <c r="R11" s="4"/>
      <c r="S11" s="5"/>
      <c r="T11">
        <v>160</v>
      </c>
    </row>
    <row r="12" spans="1:20" x14ac:dyDescent="0.5">
      <c r="A12" s="3"/>
      <c r="B12" s="2" t="s">
        <v>190</v>
      </c>
      <c r="C12" s="4">
        <v>450</v>
      </c>
      <c r="D12" s="4"/>
      <c r="E12" s="2" t="s">
        <v>9</v>
      </c>
      <c r="F12" s="4">
        <v>300</v>
      </c>
      <c r="G12" s="4"/>
      <c r="J12" s="5"/>
      <c r="K12" s="4"/>
      <c r="L12" s="4"/>
      <c r="M12" s="2" t="s">
        <v>53</v>
      </c>
      <c r="N12" s="4">
        <v>13</v>
      </c>
      <c r="O12" s="4"/>
      <c r="P12" s="2"/>
      <c r="Q12" s="4"/>
      <c r="R12" s="4"/>
      <c r="S12" s="5"/>
    </row>
    <row r="13" spans="1:20" x14ac:dyDescent="0.5">
      <c r="A13" s="3"/>
      <c r="B13" s="2" t="s">
        <v>191</v>
      </c>
      <c r="C13" s="4">
        <v>200</v>
      </c>
      <c r="D13" s="4"/>
      <c r="E13" s="2" t="s">
        <v>13</v>
      </c>
      <c r="F13" s="4">
        <v>12</v>
      </c>
      <c r="G13" s="4"/>
      <c r="J13" s="5"/>
      <c r="K13" s="4"/>
      <c r="L13" s="4"/>
      <c r="M13" s="2" t="s">
        <v>54</v>
      </c>
      <c r="N13" s="4">
        <v>13</v>
      </c>
      <c r="O13" s="4"/>
      <c r="P13" s="2"/>
      <c r="Q13" s="4"/>
      <c r="R13" s="4"/>
      <c r="S13" s="5"/>
    </row>
    <row r="14" spans="1:20" x14ac:dyDescent="0.5">
      <c r="A14" s="3"/>
      <c r="B14" s="2" t="s">
        <v>192</v>
      </c>
      <c r="C14" s="4">
        <v>200</v>
      </c>
      <c r="D14" s="4"/>
      <c r="E14" s="2" t="s">
        <v>14</v>
      </c>
      <c r="F14" s="4">
        <v>13</v>
      </c>
      <c r="G14" s="4"/>
      <c r="J14" s="5"/>
      <c r="K14" s="4"/>
      <c r="L14" s="4"/>
      <c r="M14" s="2"/>
      <c r="N14" s="4"/>
      <c r="O14" s="4"/>
      <c r="P14" s="2"/>
      <c r="Q14" s="4"/>
      <c r="R14" s="4"/>
      <c r="S14" s="5"/>
      <c r="T14">
        <f>SUM(T8:T11)</f>
        <v>560</v>
      </c>
    </row>
    <row r="15" spans="1:20" x14ac:dyDescent="0.5">
      <c r="A15" s="3"/>
      <c r="B15" s="2"/>
      <c r="C15" s="4"/>
      <c r="D15" s="4"/>
      <c r="E15" s="2" t="s">
        <v>48</v>
      </c>
      <c r="F15" s="4">
        <v>500</v>
      </c>
      <c r="G15" s="4"/>
      <c r="H15" s="2"/>
      <c r="I15" s="4"/>
      <c r="J15" s="5"/>
      <c r="K15" s="4"/>
      <c r="L15" s="4"/>
      <c r="M15" s="2"/>
      <c r="N15" s="4"/>
      <c r="O15" s="4"/>
      <c r="P15" s="2"/>
      <c r="Q15" s="4"/>
      <c r="R15" s="4"/>
      <c r="S15" s="5"/>
    </row>
    <row r="16" spans="1:20" x14ac:dyDescent="0.5">
      <c r="A16" s="3"/>
      <c r="B16" s="2"/>
      <c r="C16" s="4"/>
      <c r="D16" s="4"/>
      <c r="E16" s="2" t="s">
        <v>56</v>
      </c>
      <c r="F16" s="4">
        <v>100</v>
      </c>
      <c r="G16" s="4"/>
      <c r="H16" s="4"/>
      <c r="I16" s="4"/>
      <c r="J16" s="5"/>
      <c r="K16" s="4"/>
      <c r="L16" s="4"/>
      <c r="M16" s="2"/>
      <c r="N16" s="4"/>
      <c r="O16" s="4"/>
      <c r="P16" s="4"/>
      <c r="Q16" s="4"/>
      <c r="R16" s="4"/>
      <c r="S16" s="5"/>
    </row>
    <row r="17" spans="1:19" x14ac:dyDescent="0.5">
      <c r="A17" s="3"/>
      <c r="B17" s="2"/>
      <c r="C17" s="4"/>
      <c r="D17" s="4"/>
      <c r="E17" s="2" t="s">
        <v>27</v>
      </c>
      <c r="F17" s="4">
        <v>300</v>
      </c>
      <c r="G17" s="4"/>
      <c r="H17" s="4"/>
      <c r="I17" s="4"/>
      <c r="J17" s="5"/>
      <c r="K17" s="4"/>
      <c r="L17" s="4"/>
      <c r="M17" s="2"/>
      <c r="N17" s="4"/>
      <c r="O17" s="4"/>
      <c r="P17" s="4"/>
      <c r="Q17" s="4"/>
      <c r="R17" s="4"/>
      <c r="S17" s="5"/>
    </row>
    <row r="18" spans="1:19" x14ac:dyDescent="0.5">
      <c r="A18" s="3"/>
      <c r="B18" s="4"/>
      <c r="C18" s="4"/>
      <c r="D18" s="4"/>
      <c r="E18" s="2" t="s">
        <v>188</v>
      </c>
      <c r="F18" s="4">
        <v>1000</v>
      </c>
      <c r="G18" s="4"/>
      <c r="H18" s="4"/>
      <c r="I18" s="4"/>
      <c r="J18" s="5"/>
      <c r="K18" s="4"/>
      <c r="L18" s="4"/>
      <c r="M18" s="4"/>
      <c r="N18" s="4"/>
      <c r="O18" s="4"/>
      <c r="P18" s="4"/>
      <c r="Q18" s="4"/>
      <c r="R18" s="4"/>
      <c r="S18" s="5"/>
    </row>
    <row r="19" spans="1:19" x14ac:dyDescent="0.5">
      <c r="A19" s="3"/>
      <c r="B19" s="4"/>
      <c r="C19" s="4"/>
      <c r="D19" s="4"/>
      <c r="E19" s="4"/>
      <c r="F19" s="4"/>
      <c r="G19" s="4"/>
      <c r="H19" s="4"/>
      <c r="I19" s="4"/>
      <c r="J19" s="5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5">
      <c r="A20" s="3"/>
      <c r="B20" s="4"/>
      <c r="C20" s="4"/>
      <c r="D20" s="4"/>
      <c r="G20" s="4"/>
      <c r="H20" s="4"/>
      <c r="I20" s="4"/>
      <c r="J20" s="5"/>
      <c r="K20" s="4"/>
      <c r="L20" s="4"/>
      <c r="M20" s="4"/>
      <c r="N20" s="4"/>
      <c r="O20" s="4"/>
      <c r="P20" s="4"/>
      <c r="Q20" s="4"/>
      <c r="R20" s="4"/>
      <c r="S20" s="5"/>
    </row>
    <row r="21" spans="1:19" x14ac:dyDescent="0.5">
      <c r="A21" s="3"/>
      <c r="B21" s="7" t="s">
        <v>4</v>
      </c>
      <c r="C21" s="4">
        <f>SUM(C7:C18)</f>
        <v>1647</v>
      </c>
      <c r="D21" s="4"/>
      <c r="E21" s="4"/>
      <c r="F21" s="4">
        <f>SUM(F7:F19)+150</f>
        <v>4117</v>
      </c>
      <c r="G21" s="4"/>
      <c r="H21" s="4"/>
      <c r="I21" s="4">
        <f>SUM(I7:I18)</f>
        <v>0</v>
      </c>
      <c r="J21" s="5"/>
      <c r="K21" s="4"/>
      <c r="L21" s="4"/>
      <c r="M21" s="4"/>
      <c r="N21" s="4">
        <f>SUM(N7:N18)</f>
        <v>976</v>
      </c>
      <c r="O21" s="4"/>
      <c r="P21" s="4"/>
      <c r="Q21" s="4">
        <f>SUM(Q7:Q17)</f>
        <v>0</v>
      </c>
      <c r="R21" s="4"/>
      <c r="S21" s="5"/>
    </row>
    <row r="22" spans="1:19" x14ac:dyDescent="0.5">
      <c r="A22" s="3"/>
      <c r="B22" s="4"/>
      <c r="C22" s="4"/>
      <c r="D22" s="4"/>
      <c r="E22" s="4"/>
      <c r="F22" s="4"/>
      <c r="G22" s="4"/>
      <c r="H22" s="4"/>
      <c r="I22" s="4"/>
      <c r="J22" s="5"/>
      <c r="K22" s="4"/>
      <c r="L22" s="4"/>
      <c r="M22" s="4"/>
      <c r="N22" s="4"/>
      <c r="O22" s="4"/>
      <c r="P22" s="4"/>
      <c r="Q22" s="4"/>
      <c r="R22" s="4"/>
      <c r="S22" s="5"/>
    </row>
    <row r="23" spans="1:19" x14ac:dyDescent="0.5">
      <c r="A23" s="3"/>
      <c r="B23" s="4"/>
      <c r="C23" s="4"/>
      <c r="D23" s="4"/>
      <c r="E23" s="4"/>
      <c r="F23" s="4"/>
      <c r="G23" s="4"/>
      <c r="H23" s="4"/>
      <c r="I23" s="4"/>
      <c r="J23" s="5"/>
      <c r="K23" s="4"/>
      <c r="L23" s="4"/>
      <c r="M23" s="4"/>
      <c r="N23" s="4"/>
      <c r="O23" s="4"/>
      <c r="P23" s="4"/>
      <c r="Q23" s="4"/>
      <c r="R23" s="4"/>
      <c r="S23" s="5"/>
    </row>
    <row r="24" spans="1:19" x14ac:dyDescent="0.5">
      <c r="A24" s="3"/>
      <c r="B24" s="4"/>
      <c r="C24" s="4"/>
      <c r="D24" s="4"/>
      <c r="E24" s="4"/>
      <c r="F24" s="4"/>
      <c r="G24" s="4"/>
      <c r="H24" s="4"/>
      <c r="I24" s="4"/>
      <c r="J24" s="5"/>
      <c r="K24" s="4"/>
      <c r="L24" s="4"/>
      <c r="M24" s="4"/>
      <c r="N24" s="4"/>
      <c r="O24" s="4"/>
      <c r="P24" s="4"/>
      <c r="Q24" s="4"/>
      <c r="R24" s="4"/>
      <c r="S24" s="5"/>
    </row>
    <row r="25" spans="1:19" x14ac:dyDescent="0.5">
      <c r="A25" s="3"/>
      <c r="B25" s="4"/>
      <c r="C25" s="7" t="s">
        <v>8</v>
      </c>
      <c r="D25" s="4">
        <f>C21+F21+I21</f>
        <v>5764</v>
      </c>
      <c r="E25" s="4"/>
      <c r="F25" s="4"/>
      <c r="G25" s="4"/>
      <c r="H25" s="4"/>
      <c r="I25" s="4"/>
      <c r="J25" s="5"/>
      <c r="K25" s="7" t="s">
        <v>4</v>
      </c>
      <c r="L25" s="4"/>
      <c r="M25" s="4"/>
      <c r="N25" s="4"/>
      <c r="O25" s="4"/>
      <c r="P25" s="4">
        <f>N21+Q21</f>
        <v>976</v>
      </c>
      <c r="Q25" s="4"/>
      <c r="R25" s="4"/>
      <c r="S25" s="5"/>
    </row>
    <row r="26" spans="1:19" x14ac:dyDescent="0.5">
      <c r="A26" s="3"/>
      <c r="B26" s="4"/>
      <c r="C26" s="4"/>
      <c r="D26" s="4"/>
      <c r="E26" s="4"/>
      <c r="F26" s="4"/>
      <c r="G26" s="4"/>
      <c r="H26" s="4"/>
      <c r="I26" s="4"/>
      <c r="J26" s="5"/>
      <c r="K26" s="4"/>
      <c r="L26" s="4"/>
      <c r="M26" s="4"/>
      <c r="N26" s="4"/>
      <c r="O26" s="4"/>
      <c r="P26" s="4"/>
      <c r="Q26" s="4"/>
      <c r="R26" s="4"/>
      <c r="S26" s="5"/>
    </row>
    <row r="27" spans="1:19" x14ac:dyDescent="0.5">
      <c r="A27" s="3"/>
      <c r="B27" s="4"/>
      <c r="C27" s="4"/>
      <c r="D27" s="4"/>
      <c r="E27" s="4"/>
      <c r="F27" s="4"/>
      <c r="G27" s="4"/>
      <c r="H27" s="4"/>
      <c r="I27" s="4"/>
      <c r="J27" s="5"/>
      <c r="K27" s="4"/>
      <c r="L27" s="4"/>
      <c r="M27" s="4"/>
      <c r="N27" s="4"/>
      <c r="O27" s="4"/>
      <c r="P27" s="4"/>
      <c r="Q27" s="4"/>
      <c r="R27" s="4"/>
      <c r="S27" s="5"/>
    </row>
    <row r="28" spans="1:19" x14ac:dyDescent="0.5">
      <c r="A28" s="3"/>
      <c r="B28" s="7" t="s">
        <v>74</v>
      </c>
      <c r="C28" s="4">
        <f>ABS(G4-D25)</f>
        <v>5764</v>
      </c>
      <c r="D28" s="4"/>
      <c r="E28" s="4"/>
      <c r="F28" s="4"/>
      <c r="G28" s="4"/>
      <c r="H28" s="4"/>
      <c r="I28" s="4"/>
      <c r="J28" s="5"/>
      <c r="K28" s="7" t="s">
        <v>21</v>
      </c>
      <c r="L28" s="4">
        <f>O4-P25</f>
        <v>504</v>
      </c>
      <c r="M28" s="4"/>
      <c r="N28" s="4"/>
      <c r="O28" s="4"/>
      <c r="P28" s="4"/>
      <c r="Q28" s="4"/>
      <c r="R28" s="4"/>
      <c r="S28" s="5"/>
    </row>
    <row r="29" spans="1:19" x14ac:dyDescent="0.5">
      <c r="A29" s="3"/>
      <c r="B29" s="4"/>
      <c r="C29" s="4"/>
      <c r="D29" s="4"/>
      <c r="E29" s="4"/>
      <c r="F29" s="4"/>
      <c r="G29" s="4"/>
      <c r="H29" s="4"/>
      <c r="I29" s="4"/>
      <c r="J29" s="5"/>
      <c r="K29" s="4"/>
      <c r="L29" s="4"/>
      <c r="M29" s="4"/>
      <c r="N29" s="4"/>
      <c r="O29" s="4"/>
      <c r="P29" s="4"/>
      <c r="Q29" s="4"/>
      <c r="R29" s="4"/>
      <c r="S29" s="5"/>
    </row>
    <row r="30" spans="1:19" x14ac:dyDescent="0.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5">
      <c r="A33" s="2"/>
      <c r="B33" s="7" t="s">
        <v>25</v>
      </c>
      <c r="C33" s="4"/>
      <c r="D33" s="4"/>
      <c r="E33" s="4"/>
      <c r="F33" s="4"/>
      <c r="G33" s="4"/>
      <c r="H33" s="4"/>
      <c r="I33" s="4"/>
      <c r="J33" s="4">
        <f>C28+L28</f>
        <v>6268</v>
      </c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5">
      <c r="A34" s="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61" spans="2:3" x14ac:dyDescent="0.5">
      <c r="B61" s="7" t="s">
        <v>2</v>
      </c>
      <c r="C61" s="4">
        <v>1900</v>
      </c>
    </row>
    <row r="97" spans="2:16" x14ac:dyDescent="0.5">
      <c r="B97">
        <v>3000</v>
      </c>
    </row>
    <row r="98" spans="2:16" x14ac:dyDescent="0.5">
      <c r="B98">
        <v>2500</v>
      </c>
      <c r="J98">
        <v>3000</v>
      </c>
    </row>
    <row r="99" spans="2:16" x14ac:dyDescent="0.5">
      <c r="B99">
        <v>2500</v>
      </c>
      <c r="J99">
        <v>600</v>
      </c>
    </row>
    <row r="100" spans="2:16" x14ac:dyDescent="0.5">
      <c r="B100">
        <v>800</v>
      </c>
    </row>
    <row r="101" spans="2:16" x14ac:dyDescent="0.5">
      <c r="B101">
        <v>700</v>
      </c>
    </row>
    <row r="105" spans="2:16" x14ac:dyDescent="0.5">
      <c r="B105">
        <f>SUM(B97:B101)</f>
        <v>9500</v>
      </c>
      <c r="D105">
        <f>B105-7000</f>
        <v>2500</v>
      </c>
    </row>
    <row r="106" spans="2:16" x14ac:dyDescent="0.5">
      <c r="P106">
        <v>126</v>
      </c>
    </row>
    <row r="107" spans="2:16" x14ac:dyDescent="0.5">
      <c r="P107" s="4">
        <v>12</v>
      </c>
    </row>
    <row r="108" spans="2:16" x14ac:dyDescent="0.5">
      <c r="P108" s="4">
        <v>10</v>
      </c>
    </row>
    <row r="109" spans="2:16" x14ac:dyDescent="0.5">
      <c r="P109" s="4">
        <v>20</v>
      </c>
    </row>
    <row r="110" spans="2:16" x14ac:dyDescent="0.5">
      <c r="P110" s="4">
        <v>20</v>
      </c>
    </row>
    <row r="111" spans="2:16" x14ac:dyDescent="0.5">
      <c r="P111" s="4">
        <v>20</v>
      </c>
    </row>
    <row r="112" spans="2:16" x14ac:dyDescent="0.5">
      <c r="P112" s="4">
        <v>3.99</v>
      </c>
    </row>
    <row r="113" spans="5:16" x14ac:dyDescent="0.5">
      <c r="P113" s="4">
        <v>100</v>
      </c>
    </row>
    <row r="114" spans="5:16" x14ac:dyDescent="0.5">
      <c r="E114">
        <v>1400</v>
      </c>
      <c r="P114" s="4">
        <v>75</v>
      </c>
    </row>
    <row r="115" spans="5:16" x14ac:dyDescent="0.5">
      <c r="E115">
        <v>1300</v>
      </c>
      <c r="P115" s="4">
        <v>60</v>
      </c>
    </row>
    <row r="116" spans="5:16" x14ac:dyDescent="0.5">
      <c r="E116">
        <v>950</v>
      </c>
      <c r="P116" s="4"/>
    </row>
    <row r="117" spans="5:16" x14ac:dyDescent="0.5">
      <c r="P117" s="4">
        <v>70</v>
      </c>
    </row>
    <row r="120" spans="5:16" x14ac:dyDescent="0.5">
      <c r="E120">
        <f>SUM(E114:E118)</f>
        <v>3650</v>
      </c>
    </row>
    <row r="124" spans="5:16" x14ac:dyDescent="0.5">
      <c r="P124">
        <f>SUM(P104:P121)</f>
        <v>516.99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D329-0DC1-498B-A790-1EB77A8023CA}">
  <sheetPr codeName="Feuil10"/>
  <dimension ref="A1:T124"/>
  <sheetViews>
    <sheetView workbookViewId="0">
      <selection activeCell="J52" sqref="A1:XFD1048576"/>
    </sheetView>
  </sheetViews>
  <sheetFormatPr baseColWidth="10" defaultRowHeight="15.75" x14ac:dyDescent="0.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0" x14ac:dyDescent="0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x14ac:dyDescent="0.5">
      <c r="A3" s="3"/>
      <c r="B3" s="2"/>
      <c r="C3" s="4"/>
      <c r="D3" s="4"/>
      <c r="E3" s="4"/>
      <c r="F3" s="4"/>
      <c r="G3" s="4"/>
      <c r="H3" s="4" t="s">
        <v>59</v>
      </c>
      <c r="I3" s="4" t="s">
        <v>60</v>
      </c>
      <c r="J3" s="5"/>
      <c r="K3" s="4"/>
      <c r="L3" s="4"/>
      <c r="M3" s="4"/>
      <c r="N3" s="4"/>
      <c r="O3" s="4"/>
      <c r="P3" s="4"/>
      <c r="Q3" s="4"/>
      <c r="R3" s="4"/>
      <c r="S3" s="5"/>
    </row>
    <row r="4" spans="1:20" x14ac:dyDescent="0.5">
      <c r="A4" s="3"/>
      <c r="B4" s="2"/>
      <c r="C4" s="4"/>
      <c r="D4" s="4"/>
      <c r="E4" s="6" t="s">
        <v>19</v>
      </c>
      <c r="F4" s="7" t="s">
        <v>5</v>
      </c>
      <c r="G4" s="4">
        <v>24000</v>
      </c>
      <c r="H4" s="4"/>
      <c r="I4" s="4"/>
      <c r="J4" s="5"/>
      <c r="K4" s="4"/>
      <c r="L4" s="4"/>
      <c r="M4" s="6" t="s">
        <v>20</v>
      </c>
      <c r="N4" s="7" t="s">
        <v>5</v>
      </c>
      <c r="O4" s="4">
        <v>1480</v>
      </c>
      <c r="P4" s="4"/>
      <c r="Q4" s="4"/>
      <c r="R4" s="4"/>
      <c r="S4" s="5"/>
    </row>
    <row r="5" spans="1:20" x14ac:dyDescent="0.5">
      <c r="A5" s="3"/>
      <c r="B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5"/>
    </row>
    <row r="6" spans="1:20" x14ac:dyDescent="0.5">
      <c r="A6" s="3"/>
      <c r="B6" s="2"/>
      <c r="C6" s="7" t="s">
        <v>16</v>
      </c>
      <c r="D6" s="8"/>
      <c r="E6" s="7" t="s">
        <v>17</v>
      </c>
      <c r="F6" s="8"/>
      <c r="G6" s="7"/>
      <c r="H6" s="7" t="s">
        <v>18</v>
      </c>
      <c r="I6" s="7"/>
      <c r="J6" s="5"/>
      <c r="K6" s="7" t="s">
        <v>16</v>
      </c>
      <c r="L6" s="8"/>
      <c r="M6" s="7" t="s">
        <v>17</v>
      </c>
      <c r="N6" s="8"/>
      <c r="O6" s="7"/>
      <c r="P6" s="7" t="s">
        <v>18</v>
      </c>
      <c r="Q6" s="7"/>
      <c r="R6" s="4"/>
      <c r="S6" s="5"/>
    </row>
    <row r="7" spans="1:20" x14ac:dyDescent="0.5">
      <c r="A7" s="3"/>
      <c r="B7" s="2" t="s">
        <v>46</v>
      </c>
      <c r="C7" s="4"/>
      <c r="D7" s="4"/>
      <c r="E7" s="2" t="s">
        <v>0</v>
      </c>
      <c r="F7" s="4">
        <v>1012</v>
      </c>
      <c r="G7" s="4"/>
      <c r="H7" s="2"/>
      <c r="I7" s="4"/>
      <c r="J7" s="5"/>
      <c r="K7" s="4"/>
      <c r="L7" s="4"/>
      <c r="M7" s="2" t="s">
        <v>26</v>
      </c>
      <c r="N7" s="4">
        <v>150</v>
      </c>
      <c r="O7" s="4"/>
      <c r="P7" s="2"/>
      <c r="Q7" s="4"/>
      <c r="R7" s="4"/>
      <c r="S7" s="5"/>
    </row>
    <row r="8" spans="1:20" x14ac:dyDescent="0.5">
      <c r="A8" s="3"/>
      <c r="B8" s="2"/>
      <c r="C8" s="4" t="s">
        <v>63</v>
      </c>
      <c r="D8" s="4"/>
      <c r="E8" s="2"/>
      <c r="F8" s="4"/>
      <c r="G8" s="4"/>
      <c r="H8" s="2"/>
      <c r="I8" s="4"/>
      <c r="J8" s="5"/>
      <c r="K8" s="4"/>
      <c r="L8" s="4"/>
      <c r="M8" s="2" t="s">
        <v>49</v>
      </c>
      <c r="N8" s="4">
        <v>200</v>
      </c>
      <c r="O8" s="4"/>
      <c r="P8" s="2"/>
      <c r="Q8" s="4"/>
      <c r="R8" s="4"/>
      <c r="S8" s="5"/>
      <c r="T8">
        <v>50</v>
      </c>
    </row>
    <row r="9" spans="1:20" x14ac:dyDescent="0.5">
      <c r="A9" s="3"/>
      <c r="B9" s="2" t="s">
        <v>15</v>
      </c>
      <c r="C9" s="4">
        <v>150</v>
      </c>
      <c r="D9" s="4"/>
      <c r="E9" s="2" t="s">
        <v>47</v>
      </c>
      <c r="F9" s="4">
        <v>300</v>
      </c>
      <c r="G9" s="4"/>
      <c r="H9" s="2"/>
      <c r="I9" s="4"/>
      <c r="J9" s="5"/>
      <c r="K9" s="4"/>
      <c r="L9" s="4"/>
      <c r="M9" s="2" t="s">
        <v>50</v>
      </c>
      <c r="N9" s="4">
        <v>200</v>
      </c>
      <c r="O9" s="4"/>
      <c r="P9" s="2"/>
      <c r="Q9" s="4"/>
      <c r="R9" s="4"/>
      <c r="S9" s="5"/>
      <c r="T9">
        <v>200</v>
      </c>
    </row>
    <row r="10" spans="1:20" x14ac:dyDescent="0.5">
      <c r="A10" s="3"/>
      <c r="B10" s="2" t="s">
        <v>187</v>
      </c>
      <c r="C10" s="4">
        <v>50</v>
      </c>
      <c r="D10" s="4"/>
      <c r="E10" s="2"/>
      <c r="F10" s="4"/>
      <c r="G10" s="4"/>
      <c r="H10" s="2"/>
      <c r="I10" s="4"/>
      <c r="J10" s="5"/>
      <c r="K10" s="4"/>
      <c r="L10" s="4"/>
      <c r="M10" s="2" t="s">
        <v>51</v>
      </c>
      <c r="N10" s="4">
        <v>300</v>
      </c>
      <c r="O10" s="4"/>
      <c r="P10" s="2"/>
      <c r="Q10" s="4"/>
      <c r="R10" s="4"/>
      <c r="S10" s="5"/>
      <c r="T10">
        <v>150</v>
      </c>
    </row>
    <row r="11" spans="1:20" x14ac:dyDescent="0.5">
      <c r="A11" s="3"/>
      <c r="B11" s="2" t="s">
        <v>195</v>
      </c>
      <c r="C11" s="4">
        <v>206</v>
      </c>
      <c r="D11" s="4"/>
      <c r="E11" s="2" t="s">
        <v>1</v>
      </c>
      <c r="F11" s="4">
        <v>157</v>
      </c>
      <c r="G11" s="4"/>
      <c r="J11" s="5"/>
      <c r="K11" s="4"/>
      <c r="L11" s="4"/>
      <c r="M11" s="2" t="s">
        <v>52</v>
      </c>
      <c r="N11" s="4">
        <v>100</v>
      </c>
      <c r="O11" s="4"/>
      <c r="P11" s="2"/>
      <c r="Q11" s="4"/>
      <c r="R11" s="4"/>
      <c r="S11" s="5"/>
      <c r="T11">
        <v>160</v>
      </c>
    </row>
    <row r="12" spans="1:20" x14ac:dyDescent="0.5">
      <c r="A12" s="3"/>
      <c r="B12" s="2" t="s">
        <v>207</v>
      </c>
      <c r="C12" s="4">
        <v>100</v>
      </c>
      <c r="D12" s="4"/>
      <c r="E12" s="2" t="s">
        <v>9</v>
      </c>
      <c r="F12" s="4">
        <v>300</v>
      </c>
      <c r="G12" s="4"/>
      <c r="J12" s="5"/>
      <c r="K12" s="4"/>
      <c r="L12" s="4"/>
      <c r="M12" s="2" t="s">
        <v>53</v>
      </c>
      <c r="N12" s="4">
        <v>13</v>
      </c>
      <c r="O12" s="4"/>
      <c r="P12" s="2"/>
      <c r="Q12" s="4"/>
      <c r="R12" s="4"/>
      <c r="S12" s="5"/>
    </row>
    <row r="13" spans="1:20" x14ac:dyDescent="0.5">
      <c r="A13" s="3"/>
      <c r="B13" s="2" t="s">
        <v>15</v>
      </c>
      <c r="C13" s="4">
        <v>70</v>
      </c>
      <c r="D13" s="4"/>
      <c r="E13" s="2" t="s">
        <v>13</v>
      </c>
      <c r="F13" s="4">
        <v>12</v>
      </c>
      <c r="G13" s="4"/>
      <c r="J13" s="5"/>
      <c r="K13" s="4"/>
      <c r="L13" s="4"/>
      <c r="M13" s="2" t="s">
        <v>54</v>
      </c>
      <c r="N13" s="4">
        <v>13</v>
      </c>
      <c r="O13" s="4"/>
      <c r="P13" s="2"/>
      <c r="Q13" s="4"/>
      <c r="R13" s="4"/>
      <c r="S13" s="5"/>
    </row>
    <row r="14" spans="1:20" x14ac:dyDescent="0.5">
      <c r="A14" s="3"/>
      <c r="B14" s="2" t="s">
        <v>9</v>
      </c>
      <c r="C14" s="4">
        <v>800</v>
      </c>
      <c r="D14" s="4"/>
      <c r="E14" s="2" t="s">
        <v>14</v>
      </c>
      <c r="F14" s="4">
        <v>13</v>
      </c>
      <c r="G14" s="4"/>
      <c r="J14" s="5"/>
      <c r="K14" s="4"/>
      <c r="L14" s="4"/>
      <c r="M14" s="2"/>
      <c r="N14" s="4"/>
      <c r="O14" s="4"/>
      <c r="P14" s="2"/>
      <c r="Q14" s="4"/>
      <c r="R14" s="4"/>
      <c r="S14" s="5"/>
      <c r="T14">
        <f>SUM(T8:T11)</f>
        <v>560</v>
      </c>
    </row>
    <row r="15" spans="1:20" x14ac:dyDescent="0.5">
      <c r="A15" s="3"/>
      <c r="B15" s="2"/>
      <c r="C15" s="4"/>
      <c r="D15" s="4"/>
      <c r="E15" s="2" t="s">
        <v>48</v>
      </c>
      <c r="F15" s="4">
        <v>500</v>
      </c>
      <c r="G15" s="4"/>
      <c r="H15" s="2"/>
      <c r="I15" s="4"/>
      <c r="J15" s="5"/>
      <c r="K15" s="4"/>
      <c r="L15" s="4"/>
      <c r="M15" s="2"/>
      <c r="N15" s="4"/>
      <c r="O15" s="4"/>
      <c r="P15" s="2"/>
      <c r="Q15" s="4"/>
      <c r="R15" s="4"/>
      <c r="S15" s="5"/>
    </row>
    <row r="16" spans="1:20" x14ac:dyDescent="0.5">
      <c r="A16" s="3"/>
      <c r="B16" s="2"/>
      <c r="C16" s="4"/>
      <c r="D16" s="4"/>
      <c r="E16" s="2" t="s">
        <v>56</v>
      </c>
      <c r="F16" s="4">
        <v>100</v>
      </c>
      <c r="G16" s="4"/>
      <c r="H16" s="4"/>
      <c r="I16" s="4"/>
      <c r="J16" s="5"/>
      <c r="K16" s="4"/>
      <c r="L16" s="4"/>
      <c r="M16" s="2"/>
      <c r="N16" s="4"/>
      <c r="O16" s="4"/>
      <c r="P16" s="4"/>
      <c r="Q16" s="4"/>
      <c r="R16" s="4"/>
      <c r="S16" s="5"/>
    </row>
    <row r="17" spans="1:19" x14ac:dyDescent="0.5">
      <c r="A17" s="3"/>
      <c r="B17" s="2"/>
      <c r="C17" s="4"/>
      <c r="D17" s="4"/>
      <c r="E17" s="2" t="s">
        <v>218</v>
      </c>
      <c r="F17" s="4">
        <f>M38</f>
        <v>22002</v>
      </c>
      <c r="G17" s="4"/>
      <c r="H17" s="4"/>
      <c r="I17" s="4"/>
      <c r="J17" s="5"/>
      <c r="K17" s="4"/>
      <c r="L17" s="4"/>
      <c r="M17" s="2"/>
      <c r="N17" s="4"/>
      <c r="O17" s="4"/>
      <c r="P17" s="4"/>
      <c r="Q17" s="4"/>
      <c r="R17" s="4"/>
      <c r="S17" s="5"/>
    </row>
    <row r="18" spans="1:19" x14ac:dyDescent="0.5">
      <c r="A18" s="3"/>
      <c r="B18" s="4"/>
      <c r="C18" s="4"/>
      <c r="D18" s="4"/>
      <c r="E18" s="2" t="s">
        <v>188</v>
      </c>
      <c r="F18" s="4">
        <v>1000</v>
      </c>
      <c r="G18" s="4"/>
      <c r="H18" s="4"/>
      <c r="I18" s="4"/>
      <c r="J18" s="5"/>
      <c r="K18" s="4"/>
      <c r="L18" s="4"/>
      <c r="M18" s="4"/>
      <c r="N18" s="4"/>
      <c r="O18" s="4"/>
      <c r="P18" s="4"/>
      <c r="Q18" s="4"/>
      <c r="R18" s="4"/>
      <c r="S18" s="5"/>
    </row>
    <row r="19" spans="1:19" x14ac:dyDescent="0.5">
      <c r="A19" s="3"/>
      <c r="B19" s="4"/>
      <c r="C19" s="4"/>
      <c r="D19" s="4"/>
      <c r="E19" s="4"/>
      <c r="F19" s="4"/>
      <c r="G19" s="4"/>
      <c r="H19" s="4"/>
      <c r="I19" s="4"/>
      <c r="J19" s="5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5">
      <c r="A20" s="3"/>
      <c r="B20" s="4"/>
      <c r="C20" s="4"/>
      <c r="D20" s="4"/>
      <c r="G20" s="4"/>
      <c r="H20" s="4"/>
      <c r="I20" s="4"/>
      <c r="J20" s="5"/>
      <c r="K20" s="4"/>
      <c r="L20" s="4"/>
      <c r="M20" s="4"/>
      <c r="N20" s="4"/>
      <c r="O20" s="4"/>
      <c r="P20" s="4"/>
      <c r="Q20" s="4"/>
      <c r="R20" s="4"/>
      <c r="S20" s="5"/>
    </row>
    <row r="21" spans="1:19" x14ac:dyDescent="0.5">
      <c r="A21" s="3"/>
      <c r="B21" s="7" t="s">
        <v>4</v>
      </c>
      <c r="C21" s="4">
        <f>SUM(C7:C18)</f>
        <v>1376</v>
      </c>
      <c r="D21" s="4"/>
      <c r="E21" s="4"/>
      <c r="F21" s="4">
        <f>SUM(F7:F19)+150</f>
        <v>25546</v>
      </c>
      <c r="G21" s="4"/>
      <c r="H21" s="4"/>
      <c r="I21" s="4">
        <f>SUM(I7:I18)</f>
        <v>0</v>
      </c>
      <c r="J21" s="5"/>
      <c r="K21" s="4"/>
      <c r="L21" s="4"/>
      <c r="M21" s="4"/>
      <c r="N21" s="4">
        <f>SUM(N7:N18)</f>
        <v>976</v>
      </c>
      <c r="O21" s="4"/>
      <c r="P21" s="4"/>
      <c r="Q21" s="4">
        <f>SUM(Q7:Q17)</f>
        <v>0</v>
      </c>
      <c r="R21" s="4"/>
      <c r="S21" s="5"/>
    </row>
    <row r="22" spans="1:19" x14ac:dyDescent="0.5">
      <c r="A22" s="3"/>
      <c r="B22" s="4"/>
      <c r="C22" s="4"/>
      <c r="D22" s="4"/>
      <c r="E22" s="4"/>
      <c r="F22" s="4"/>
      <c r="G22" s="4"/>
      <c r="H22" s="4"/>
      <c r="I22" s="4"/>
      <c r="J22" s="5"/>
      <c r="K22" s="4"/>
      <c r="L22" s="4"/>
      <c r="M22" s="4"/>
      <c r="N22" s="4"/>
      <c r="O22" s="4"/>
      <c r="P22" s="4"/>
      <c r="Q22" s="4"/>
      <c r="R22" s="4"/>
      <c r="S22" s="5"/>
    </row>
    <row r="23" spans="1:19" x14ac:dyDescent="0.5">
      <c r="A23" s="3"/>
      <c r="B23" s="4"/>
      <c r="C23" s="4"/>
      <c r="D23" s="4"/>
      <c r="E23" s="4"/>
      <c r="F23" s="4"/>
      <c r="G23" s="4"/>
      <c r="H23" s="4"/>
      <c r="I23" s="4"/>
      <c r="J23" s="5"/>
      <c r="K23" s="4"/>
      <c r="L23" s="4"/>
      <c r="M23" s="4"/>
      <c r="N23" s="4"/>
      <c r="O23" s="4"/>
      <c r="P23" s="4"/>
      <c r="Q23" s="4"/>
      <c r="R23" s="4"/>
      <c r="S23" s="5"/>
    </row>
    <row r="24" spans="1:19" x14ac:dyDescent="0.5">
      <c r="A24" s="3"/>
      <c r="B24" s="4"/>
      <c r="C24" s="4"/>
      <c r="D24" s="4"/>
      <c r="E24" s="4"/>
      <c r="F24" s="4"/>
      <c r="G24" s="4"/>
      <c r="H24" s="4"/>
      <c r="I24" s="4"/>
      <c r="J24" s="5"/>
      <c r="K24" s="4"/>
      <c r="L24" s="4"/>
      <c r="M24" s="4"/>
      <c r="N24" s="4"/>
      <c r="O24" s="4"/>
      <c r="P24" s="4"/>
      <c r="Q24" s="4"/>
      <c r="R24" s="4"/>
      <c r="S24" s="5"/>
    </row>
    <row r="25" spans="1:19" x14ac:dyDescent="0.5">
      <c r="A25" s="3"/>
      <c r="B25" s="4"/>
      <c r="C25" s="7" t="s">
        <v>8</v>
      </c>
      <c r="D25" s="4">
        <f>C21+F21+I21</f>
        <v>26922</v>
      </c>
      <c r="E25" s="4"/>
      <c r="F25" s="4"/>
      <c r="G25" s="4"/>
      <c r="H25" s="4"/>
      <c r="I25" s="4"/>
      <c r="J25" s="5"/>
      <c r="K25" s="7" t="s">
        <v>4</v>
      </c>
      <c r="L25" s="4"/>
      <c r="M25" s="4"/>
      <c r="N25" s="4"/>
      <c r="O25" s="4"/>
      <c r="P25" s="4">
        <f>N21+Q21</f>
        <v>976</v>
      </c>
      <c r="Q25" s="4"/>
      <c r="R25" s="4"/>
      <c r="S25" s="5"/>
    </row>
    <row r="26" spans="1:19" x14ac:dyDescent="0.5">
      <c r="A26" s="3"/>
      <c r="B26" s="4"/>
      <c r="C26" s="4"/>
      <c r="D26" s="4"/>
      <c r="E26" s="4"/>
      <c r="F26" s="4"/>
      <c r="G26" s="4"/>
      <c r="H26" s="4"/>
      <c r="I26" s="4"/>
      <c r="J26" s="5"/>
      <c r="K26" s="4"/>
      <c r="L26" s="4"/>
      <c r="M26" s="4"/>
      <c r="N26" s="4"/>
      <c r="O26" s="4"/>
      <c r="P26" s="4"/>
      <c r="Q26" s="4"/>
      <c r="R26" s="4"/>
      <c r="S26" s="5"/>
    </row>
    <row r="27" spans="1:19" x14ac:dyDescent="0.5">
      <c r="A27" s="3"/>
      <c r="B27" s="4"/>
      <c r="C27" s="4"/>
      <c r="D27" s="4"/>
      <c r="E27" s="4"/>
      <c r="F27" s="4"/>
      <c r="G27" s="4"/>
      <c r="H27" s="4"/>
      <c r="I27" s="4"/>
      <c r="J27" s="5"/>
      <c r="K27" s="4"/>
      <c r="L27" s="4"/>
      <c r="M27" s="4"/>
      <c r="N27" s="4"/>
      <c r="O27" s="4"/>
      <c r="P27" s="4"/>
      <c r="Q27" s="4"/>
      <c r="R27" s="4"/>
      <c r="S27" s="5"/>
    </row>
    <row r="28" spans="1:19" x14ac:dyDescent="0.5">
      <c r="A28" s="3"/>
      <c r="B28" s="7" t="s">
        <v>74</v>
      </c>
      <c r="C28" s="4">
        <f>ABS(G4-D25)</f>
        <v>2922</v>
      </c>
      <c r="D28" s="4"/>
      <c r="E28" s="4"/>
      <c r="F28" s="4"/>
      <c r="G28" s="4"/>
      <c r="H28" s="4"/>
      <c r="I28" s="4"/>
      <c r="J28" s="5"/>
      <c r="K28" s="7" t="s">
        <v>21</v>
      </c>
      <c r="L28" s="4">
        <f>O4-P25</f>
        <v>504</v>
      </c>
      <c r="M28" s="4"/>
      <c r="N28" s="4"/>
      <c r="O28" s="4"/>
      <c r="P28" s="4"/>
      <c r="Q28" s="4"/>
      <c r="R28" s="4"/>
      <c r="S28" s="5"/>
    </row>
    <row r="29" spans="1:19" x14ac:dyDescent="0.5">
      <c r="A29" s="3"/>
      <c r="B29" s="4"/>
      <c r="C29" s="4"/>
      <c r="D29" s="4"/>
      <c r="E29" s="4"/>
      <c r="F29" s="4"/>
      <c r="G29" s="4"/>
      <c r="H29" s="4"/>
      <c r="I29" s="4"/>
      <c r="J29" s="5"/>
      <c r="K29" s="4"/>
      <c r="L29" s="4"/>
      <c r="M29" s="4"/>
      <c r="N29" s="4"/>
      <c r="O29" s="4"/>
      <c r="P29" s="4"/>
      <c r="Q29" s="4"/>
      <c r="R29" s="4"/>
      <c r="S29" s="5"/>
    </row>
    <row r="30" spans="1:19" x14ac:dyDescent="0.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5">
      <c r="A33" s="2"/>
      <c r="B33" s="7" t="s">
        <v>25</v>
      </c>
      <c r="C33" s="4"/>
      <c r="D33" s="4"/>
      <c r="E33" s="4"/>
      <c r="F33" s="4"/>
      <c r="G33" s="4"/>
      <c r="H33" s="4"/>
      <c r="I33" s="4"/>
      <c r="J33" s="4">
        <f>C28+L28</f>
        <v>3426</v>
      </c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5">
      <c r="A34" s="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x14ac:dyDescent="0.5">
      <c r="E35">
        <f>5.2+13.8+10.96+13+13+21+6.99+47+62+12+68+40</f>
        <v>312.95</v>
      </c>
    </row>
    <row r="38" spans="1:19" x14ac:dyDescent="0.5">
      <c r="I38" t="s">
        <v>208</v>
      </c>
      <c r="J38">
        <v>39</v>
      </c>
      <c r="L38" t="s">
        <v>214</v>
      </c>
      <c r="M38">
        <f>SUM(J38:J57)</f>
        <v>22002</v>
      </c>
    </row>
    <row r="39" spans="1:19" ht="16.5" x14ac:dyDescent="0.6">
      <c r="E39" s="13" t="s">
        <v>196</v>
      </c>
      <c r="F39">
        <v>500</v>
      </c>
      <c r="I39" t="s">
        <v>209</v>
      </c>
      <c r="J39">
        <v>100</v>
      </c>
    </row>
    <row r="40" spans="1:19" ht="16.5" x14ac:dyDescent="0.6">
      <c r="E40" s="13" t="s">
        <v>197</v>
      </c>
      <c r="F40">
        <v>800</v>
      </c>
      <c r="I40" t="s">
        <v>210</v>
      </c>
      <c r="J40">
        <v>21</v>
      </c>
    </row>
    <row r="41" spans="1:19" ht="16.5" x14ac:dyDescent="0.6">
      <c r="E41" s="13" t="s">
        <v>198</v>
      </c>
      <c r="F41">
        <v>200</v>
      </c>
      <c r="I41" t="s">
        <v>211</v>
      </c>
      <c r="J41">
        <v>20</v>
      </c>
    </row>
    <row r="42" spans="1:19" ht="16.5" x14ac:dyDescent="0.6">
      <c r="E42" s="13" t="s">
        <v>199</v>
      </c>
      <c r="F42">
        <v>2000</v>
      </c>
      <c r="I42" t="s">
        <v>212</v>
      </c>
      <c r="J42">
        <v>20</v>
      </c>
    </row>
    <row r="43" spans="1:19" ht="16.5" x14ac:dyDescent="0.6">
      <c r="E43" s="13" t="s">
        <v>205</v>
      </c>
      <c r="F43">
        <v>500</v>
      </c>
      <c r="I43" t="s">
        <v>212</v>
      </c>
      <c r="J43">
        <v>27</v>
      </c>
    </row>
    <row r="44" spans="1:19" ht="16.5" x14ac:dyDescent="0.6">
      <c r="E44" s="13" t="s">
        <v>200</v>
      </c>
      <c r="F44">
        <v>100</v>
      </c>
      <c r="I44" t="s">
        <v>213</v>
      </c>
      <c r="J44">
        <v>67</v>
      </c>
    </row>
    <row r="45" spans="1:19" ht="16.5" x14ac:dyDescent="0.6">
      <c r="E45" s="13" t="s">
        <v>201</v>
      </c>
      <c r="F45">
        <v>67</v>
      </c>
      <c r="I45" t="s">
        <v>22</v>
      </c>
      <c r="J45">
        <v>28</v>
      </c>
    </row>
    <row r="46" spans="1:19" ht="16.5" x14ac:dyDescent="0.6">
      <c r="E46" s="13" t="s">
        <v>202</v>
      </c>
      <c r="F46">
        <v>50</v>
      </c>
      <c r="I46" t="s">
        <v>215</v>
      </c>
      <c r="J46">
        <v>31</v>
      </c>
    </row>
    <row r="47" spans="1:19" ht="16.5" x14ac:dyDescent="0.6">
      <c r="E47" s="13" t="s">
        <v>203</v>
      </c>
      <c r="F47">
        <v>70</v>
      </c>
      <c r="I47" t="s">
        <v>216</v>
      </c>
      <c r="J47">
        <v>32</v>
      </c>
    </row>
    <row r="48" spans="1:19" ht="16.5" x14ac:dyDescent="0.6">
      <c r="E48" s="13" t="s">
        <v>204</v>
      </c>
      <c r="F48">
        <v>300</v>
      </c>
      <c r="I48" t="s">
        <v>217</v>
      </c>
      <c r="J48">
        <v>46</v>
      </c>
    </row>
    <row r="49" spans="2:10" ht="16.5" x14ac:dyDescent="0.6">
      <c r="E49" s="13" t="s">
        <v>206</v>
      </c>
      <c r="F49">
        <v>100</v>
      </c>
      <c r="I49" t="s">
        <v>24</v>
      </c>
      <c r="J49">
        <v>20914</v>
      </c>
    </row>
    <row r="50" spans="2:10" x14ac:dyDescent="0.5">
      <c r="I50" t="s">
        <v>219</v>
      </c>
      <c r="J50">
        <v>357</v>
      </c>
    </row>
    <row r="51" spans="2:10" x14ac:dyDescent="0.5">
      <c r="J51">
        <v>300</v>
      </c>
    </row>
    <row r="53" spans="2:10" x14ac:dyDescent="0.5">
      <c r="F53">
        <f>SUM(F39:F49)</f>
        <v>4687</v>
      </c>
    </row>
    <row r="61" spans="2:10" x14ac:dyDescent="0.5">
      <c r="B61" s="7" t="s">
        <v>2</v>
      </c>
      <c r="C61" s="4">
        <v>1900</v>
      </c>
    </row>
    <row r="97" spans="2:16" x14ac:dyDescent="0.5">
      <c r="B97">
        <v>3000</v>
      </c>
    </row>
    <row r="98" spans="2:16" x14ac:dyDescent="0.5">
      <c r="B98">
        <v>2500</v>
      </c>
      <c r="J98">
        <v>3000</v>
      </c>
    </row>
    <row r="99" spans="2:16" x14ac:dyDescent="0.5">
      <c r="B99">
        <v>2500</v>
      </c>
      <c r="J99">
        <v>600</v>
      </c>
    </row>
    <row r="100" spans="2:16" x14ac:dyDescent="0.5">
      <c r="B100">
        <v>800</v>
      </c>
    </row>
    <row r="101" spans="2:16" x14ac:dyDescent="0.5">
      <c r="B101">
        <v>700</v>
      </c>
    </row>
    <row r="105" spans="2:16" x14ac:dyDescent="0.5">
      <c r="B105">
        <f>SUM(B97:B101)</f>
        <v>9500</v>
      </c>
      <c r="D105">
        <f>B105-7000</f>
        <v>2500</v>
      </c>
    </row>
    <row r="106" spans="2:16" x14ac:dyDescent="0.5">
      <c r="P106">
        <v>126</v>
      </c>
    </row>
    <row r="107" spans="2:16" x14ac:dyDescent="0.5">
      <c r="P107" s="4">
        <v>12</v>
      </c>
    </row>
    <row r="108" spans="2:16" x14ac:dyDescent="0.5">
      <c r="P108" s="4">
        <v>10</v>
      </c>
    </row>
    <row r="109" spans="2:16" x14ac:dyDescent="0.5">
      <c r="P109" s="4">
        <v>20</v>
      </c>
    </row>
    <row r="110" spans="2:16" x14ac:dyDescent="0.5">
      <c r="P110" s="4">
        <v>20</v>
      </c>
    </row>
    <row r="111" spans="2:16" x14ac:dyDescent="0.5">
      <c r="P111" s="4">
        <v>20</v>
      </c>
    </row>
    <row r="112" spans="2:16" x14ac:dyDescent="0.5">
      <c r="P112" s="4">
        <v>3.99</v>
      </c>
    </row>
    <row r="113" spans="5:16" x14ac:dyDescent="0.5">
      <c r="P113" s="4">
        <v>100</v>
      </c>
    </row>
    <row r="114" spans="5:16" x14ac:dyDescent="0.5">
      <c r="E114">
        <v>1400</v>
      </c>
      <c r="P114" s="4">
        <v>75</v>
      </c>
    </row>
    <row r="115" spans="5:16" x14ac:dyDescent="0.5">
      <c r="E115">
        <v>1300</v>
      </c>
      <c r="P115" s="4">
        <v>60</v>
      </c>
    </row>
    <row r="116" spans="5:16" x14ac:dyDescent="0.5">
      <c r="E116">
        <v>950</v>
      </c>
      <c r="P116" s="4"/>
    </row>
    <row r="117" spans="5:16" x14ac:dyDescent="0.5">
      <c r="P117" s="4">
        <v>70</v>
      </c>
    </row>
    <row r="120" spans="5:16" x14ac:dyDescent="0.5">
      <c r="E120">
        <f>SUM(E114:E118)</f>
        <v>3650</v>
      </c>
    </row>
    <row r="124" spans="5:16" x14ac:dyDescent="0.5">
      <c r="P124">
        <f>SUM(P104:P121)</f>
        <v>516.99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2F89-A56A-4328-AFC1-09E73433F3F3}">
  <sheetPr codeName="Feuil11"/>
  <dimension ref="A1:T124"/>
  <sheetViews>
    <sheetView workbookViewId="0">
      <selection activeCell="C12" sqref="A1:XFD1048576"/>
    </sheetView>
  </sheetViews>
  <sheetFormatPr baseColWidth="10" defaultRowHeight="15.75" x14ac:dyDescent="0.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0" x14ac:dyDescent="0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x14ac:dyDescent="0.5">
      <c r="A3" s="3"/>
      <c r="B3" s="2"/>
      <c r="C3" s="4"/>
      <c r="D3" s="4"/>
      <c r="E3" s="4"/>
      <c r="F3" s="4"/>
      <c r="G3" s="4"/>
      <c r="H3" s="4" t="s">
        <v>59</v>
      </c>
      <c r="I3" s="4" t="s">
        <v>60</v>
      </c>
      <c r="J3" s="5"/>
      <c r="K3" s="4"/>
      <c r="L3" s="4"/>
      <c r="M3" s="4"/>
      <c r="N3" s="4"/>
      <c r="O3" s="4"/>
      <c r="P3" s="4"/>
      <c r="Q3" s="4"/>
      <c r="R3" s="4"/>
      <c r="S3" s="5"/>
    </row>
    <row r="4" spans="1:20" x14ac:dyDescent="0.5">
      <c r="A4" s="3"/>
      <c r="B4" s="2"/>
      <c r="C4" s="4"/>
      <c r="D4" s="4"/>
      <c r="E4" s="6" t="s">
        <v>19</v>
      </c>
      <c r="F4" s="7" t="s">
        <v>5</v>
      </c>
      <c r="G4" s="4"/>
      <c r="H4" s="4">
        <v>6715</v>
      </c>
      <c r="I4" s="4"/>
      <c r="J4" s="5"/>
      <c r="K4" s="4"/>
      <c r="L4" s="4"/>
      <c r="M4" s="6" t="s">
        <v>20</v>
      </c>
      <c r="N4" s="7" t="s">
        <v>5</v>
      </c>
      <c r="O4" s="4">
        <v>1480</v>
      </c>
      <c r="P4" s="4"/>
      <c r="Q4" s="4"/>
      <c r="R4" s="4"/>
      <c r="S4" s="5"/>
    </row>
    <row r="5" spans="1:20" x14ac:dyDescent="0.5">
      <c r="A5" s="3"/>
      <c r="B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5"/>
    </row>
    <row r="6" spans="1:20" x14ac:dyDescent="0.5">
      <c r="A6" s="3"/>
      <c r="B6" s="2"/>
      <c r="C6" s="7" t="s">
        <v>16</v>
      </c>
      <c r="D6" s="8"/>
      <c r="E6" s="7" t="s">
        <v>17</v>
      </c>
      <c r="F6" s="8"/>
      <c r="G6" s="7"/>
      <c r="H6" s="7" t="s">
        <v>18</v>
      </c>
      <c r="I6" s="7"/>
      <c r="J6" s="5"/>
      <c r="K6" s="7" t="s">
        <v>16</v>
      </c>
      <c r="L6" s="8"/>
      <c r="M6" s="7" t="s">
        <v>17</v>
      </c>
      <c r="N6" s="8"/>
      <c r="O6" s="7"/>
      <c r="P6" s="7" t="s">
        <v>18</v>
      </c>
      <c r="Q6" s="7"/>
      <c r="R6" s="4"/>
      <c r="S6" s="5"/>
    </row>
    <row r="7" spans="1:20" x14ac:dyDescent="0.5">
      <c r="A7" s="3"/>
      <c r="B7" s="2" t="s">
        <v>46</v>
      </c>
      <c r="C7" s="4"/>
      <c r="D7" s="4"/>
      <c r="E7" s="2" t="s">
        <v>0</v>
      </c>
      <c r="F7" s="4">
        <v>1012</v>
      </c>
      <c r="G7" s="4"/>
      <c r="H7" s="2"/>
      <c r="I7" s="4"/>
      <c r="J7" s="5"/>
      <c r="K7" s="4"/>
      <c r="L7" s="4"/>
      <c r="M7" s="2" t="s">
        <v>26</v>
      </c>
      <c r="N7" s="4">
        <v>150</v>
      </c>
      <c r="O7" s="4"/>
      <c r="P7" s="2"/>
      <c r="Q7" s="4"/>
      <c r="R7" s="4"/>
      <c r="S7" s="5"/>
    </row>
    <row r="8" spans="1:20" x14ac:dyDescent="0.5">
      <c r="A8" s="3"/>
      <c r="B8" s="2"/>
      <c r="C8" s="4" t="s">
        <v>63</v>
      </c>
      <c r="D8" s="4"/>
      <c r="E8" s="2" t="s">
        <v>220</v>
      </c>
      <c r="F8" s="4">
        <v>1000</v>
      </c>
      <c r="G8" s="4"/>
      <c r="H8" s="2"/>
      <c r="I8" s="4"/>
      <c r="J8" s="5"/>
      <c r="K8" s="4"/>
      <c r="L8" s="4"/>
      <c r="M8" s="2" t="s">
        <v>49</v>
      </c>
      <c r="N8" s="4">
        <v>200</v>
      </c>
      <c r="O8" s="4"/>
      <c r="P8" s="2"/>
      <c r="Q8" s="4"/>
      <c r="R8" s="4"/>
      <c r="S8" s="5"/>
      <c r="T8">
        <v>50</v>
      </c>
    </row>
    <row r="9" spans="1:20" x14ac:dyDescent="0.5">
      <c r="A9" s="3"/>
      <c r="B9" s="2" t="s">
        <v>15</v>
      </c>
      <c r="C9" s="4"/>
      <c r="D9" s="4"/>
      <c r="E9" s="2" t="s">
        <v>47</v>
      </c>
      <c r="F9" s="4">
        <v>300</v>
      </c>
      <c r="G9" s="4"/>
      <c r="H9" s="2"/>
      <c r="I9" s="4"/>
      <c r="J9" s="5"/>
      <c r="K9" s="4"/>
      <c r="L9" s="4"/>
      <c r="M9" s="2" t="s">
        <v>50</v>
      </c>
      <c r="N9" s="4">
        <v>200</v>
      </c>
      <c r="O9" s="4"/>
      <c r="P9" s="2"/>
      <c r="Q9" s="4"/>
      <c r="R9" s="4"/>
      <c r="S9" s="5"/>
      <c r="T9">
        <v>200</v>
      </c>
    </row>
    <row r="10" spans="1:20" x14ac:dyDescent="0.5">
      <c r="A10" s="3"/>
      <c r="B10" s="2" t="s">
        <v>221</v>
      </c>
      <c r="C10" s="4">
        <v>200</v>
      </c>
      <c r="D10" s="4"/>
      <c r="E10" s="2" t="s">
        <v>187</v>
      </c>
      <c r="F10" s="4">
        <v>50</v>
      </c>
      <c r="G10" s="4"/>
      <c r="H10" s="2"/>
      <c r="I10" s="4"/>
      <c r="J10" s="5"/>
      <c r="K10" s="4"/>
      <c r="L10" s="4"/>
      <c r="M10" s="2" t="s">
        <v>51</v>
      </c>
      <c r="N10" s="4">
        <v>300</v>
      </c>
      <c r="O10" s="4"/>
      <c r="P10" s="2"/>
      <c r="Q10" s="4"/>
      <c r="R10" s="4"/>
      <c r="S10" s="5"/>
      <c r="T10">
        <v>150</v>
      </c>
    </row>
    <row r="11" spans="1:20" x14ac:dyDescent="0.5">
      <c r="A11" s="3"/>
      <c r="B11" s="2" t="s">
        <v>195</v>
      </c>
      <c r="C11" s="4">
        <v>229</v>
      </c>
      <c r="D11" s="4"/>
      <c r="E11" s="2" t="s">
        <v>1</v>
      </c>
      <c r="F11" s="4">
        <v>157</v>
      </c>
      <c r="G11" s="4"/>
      <c r="J11" s="5"/>
      <c r="K11" s="4"/>
      <c r="L11" s="4"/>
      <c r="M11" s="2" t="s">
        <v>52</v>
      </c>
      <c r="N11" s="4">
        <v>100</v>
      </c>
      <c r="O11" s="4"/>
      <c r="P11" s="2"/>
      <c r="Q11" s="4"/>
      <c r="R11" s="4"/>
      <c r="S11" s="5"/>
      <c r="T11">
        <v>160</v>
      </c>
    </row>
    <row r="12" spans="1:20" x14ac:dyDescent="0.5">
      <c r="A12" s="3"/>
      <c r="B12" s="2" t="s">
        <v>207</v>
      </c>
      <c r="C12" s="4"/>
      <c r="D12" s="4"/>
      <c r="E12" s="2" t="s">
        <v>9</v>
      </c>
      <c r="F12" s="4">
        <v>300</v>
      </c>
      <c r="G12" s="4"/>
      <c r="J12" s="5"/>
      <c r="K12" s="4"/>
      <c r="L12" s="4"/>
      <c r="M12" s="2" t="s">
        <v>53</v>
      </c>
      <c r="N12" s="4">
        <v>13</v>
      </c>
      <c r="O12" s="4"/>
      <c r="P12" s="2"/>
      <c r="Q12" s="4"/>
      <c r="R12" s="4"/>
      <c r="S12" s="5"/>
    </row>
    <row r="13" spans="1:20" x14ac:dyDescent="0.5">
      <c r="A13" s="3"/>
      <c r="B13" s="2" t="s">
        <v>15</v>
      </c>
      <c r="C13" s="4"/>
      <c r="D13" s="4"/>
      <c r="E13" s="2" t="s">
        <v>13</v>
      </c>
      <c r="F13" s="4">
        <v>12</v>
      </c>
      <c r="G13" s="4"/>
      <c r="J13" s="5"/>
      <c r="K13" s="4"/>
      <c r="L13" s="4"/>
      <c r="M13" s="2" t="s">
        <v>54</v>
      </c>
      <c r="N13" s="4">
        <v>13</v>
      </c>
      <c r="O13" s="4"/>
      <c r="P13" s="2"/>
      <c r="Q13" s="4"/>
      <c r="R13" s="4"/>
      <c r="S13" s="5"/>
    </row>
    <row r="14" spans="1:20" x14ac:dyDescent="0.5">
      <c r="A14" s="3"/>
      <c r="B14" s="2" t="s">
        <v>9</v>
      </c>
      <c r="C14" s="4"/>
      <c r="D14" s="4"/>
      <c r="E14" s="2" t="s">
        <v>14</v>
      </c>
      <c r="F14" s="4">
        <v>13</v>
      </c>
      <c r="G14" s="4"/>
      <c r="J14" s="5"/>
      <c r="K14" s="4"/>
      <c r="L14" s="4"/>
      <c r="M14" s="2"/>
      <c r="N14" s="4"/>
      <c r="O14" s="4"/>
      <c r="P14" s="2"/>
      <c r="Q14" s="4"/>
      <c r="R14" s="4"/>
      <c r="S14" s="5"/>
      <c r="T14">
        <f>SUM(T8:T11)</f>
        <v>560</v>
      </c>
    </row>
    <row r="15" spans="1:20" x14ac:dyDescent="0.5">
      <c r="A15" s="3"/>
      <c r="B15" s="2"/>
      <c r="C15" s="4"/>
      <c r="D15" s="4"/>
      <c r="E15" s="2" t="s">
        <v>56</v>
      </c>
      <c r="F15" s="4">
        <v>100</v>
      </c>
      <c r="G15" s="4"/>
      <c r="H15" s="2"/>
      <c r="I15" s="4"/>
      <c r="J15" s="5"/>
      <c r="K15" s="4"/>
      <c r="L15" s="4"/>
      <c r="M15" s="2"/>
      <c r="N15" s="4"/>
      <c r="O15" s="4"/>
      <c r="P15" s="2"/>
      <c r="Q15" s="4"/>
      <c r="R15" s="4"/>
      <c r="S15" s="5"/>
    </row>
    <row r="16" spans="1:20" x14ac:dyDescent="0.5">
      <c r="A16" s="3"/>
      <c r="B16" s="2"/>
      <c r="C16" s="4"/>
      <c r="D16" s="4"/>
      <c r="E16" s="2"/>
      <c r="F16" s="4"/>
      <c r="G16" s="4"/>
      <c r="H16" s="4"/>
      <c r="I16" s="4"/>
      <c r="J16" s="5"/>
      <c r="K16" s="4"/>
      <c r="L16" s="4"/>
      <c r="M16" s="2"/>
      <c r="N16" s="4"/>
      <c r="O16" s="4"/>
      <c r="P16" s="4"/>
      <c r="Q16" s="4"/>
      <c r="R16" s="4"/>
      <c r="S16" s="5"/>
    </row>
    <row r="17" spans="1:19" x14ac:dyDescent="0.5">
      <c r="A17" s="3"/>
      <c r="B17" s="2"/>
      <c r="C17" s="4"/>
      <c r="D17" s="4"/>
      <c r="E17" s="2"/>
      <c r="F17" s="4"/>
      <c r="G17" s="4"/>
      <c r="H17" s="4"/>
      <c r="I17" s="4"/>
      <c r="J17" s="5"/>
      <c r="K17" s="4"/>
      <c r="L17" s="4"/>
      <c r="M17" s="2"/>
      <c r="N17" s="4"/>
      <c r="O17" s="4"/>
      <c r="P17" s="4"/>
      <c r="Q17" s="4"/>
      <c r="R17" s="4"/>
      <c r="S17" s="5"/>
    </row>
    <row r="18" spans="1:19" x14ac:dyDescent="0.5">
      <c r="A18" s="3"/>
      <c r="B18" s="4"/>
      <c r="C18" s="4"/>
      <c r="D18" s="4"/>
      <c r="E18" s="2"/>
      <c r="F18" s="4"/>
      <c r="G18" s="4"/>
      <c r="H18" s="4"/>
      <c r="I18" s="4"/>
      <c r="J18" s="5"/>
      <c r="K18" s="4"/>
      <c r="L18" s="4"/>
      <c r="M18" s="4"/>
      <c r="N18" s="4"/>
      <c r="O18" s="4"/>
      <c r="P18" s="4"/>
      <c r="Q18" s="4"/>
      <c r="R18" s="4"/>
      <c r="S18" s="5"/>
    </row>
    <row r="19" spans="1:19" x14ac:dyDescent="0.5">
      <c r="A19" s="3"/>
      <c r="B19" s="4"/>
      <c r="C19" s="4"/>
      <c r="D19" s="4"/>
      <c r="E19" s="4"/>
      <c r="F19" s="4"/>
      <c r="G19" s="4"/>
      <c r="H19" s="4"/>
      <c r="I19" s="4"/>
      <c r="J19" s="5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5">
      <c r="A20" s="3"/>
      <c r="B20" s="4"/>
      <c r="C20" s="4"/>
      <c r="D20" s="4"/>
      <c r="G20" s="4"/>
      <c r="H20" s="4"/>
      <c r="I20" s="4"/>
      <c r="J20" s="5"/>
      <c r="K20" s="4"/>
      <c r="L20" s="4"/>
      <c r="M20" s="4"/>
      <c r="N20" s="4"/>
      <c r="O20" s="4"/>
      <c r="P20" s="4"/>
      <c r="Q20" s="4"/>
      <c r="R20" s="4"/>
      <c r="S20" s="5"/>
    </row>
    <row r="21" spans="1:19" x14ac:dyDescent="0.5">
      <c r="A21" s="3"/>
      <c r="B21" s="7" t="s">
        <v>4</v>
      </c>
      <c r="C21" s="4">
        <f>SUM(C7:C18)</f>
        <v>429</v>
      </c>
      <c r="D21" s="4"/>
      <c r="E21" s="4"/>
      <c r="F21" s="4">
        <f>SUM(F7:F19)+150</f>
        <v>3094</v>
      </c>
      <c r="G21" s="4"/>
      <c r="H21" s="4"/>
      <c r="I21" s="4">
        <f>SUM(I7:I18)</f>
        <v>0</v>
      </c>
      <c r="J21" s="5"/>
      <c r="K21" s="4"/>
      <c r="L21" s="4"/>
      <c r="M21" s="4"/>
      <c r="N21" s="4">
        <f>SUM(N7:N18)</f>
        <v>976</v>
      </c>
      <c r="O21" s="4"/>
      <c r="P21" s="4"/>
      <c r="Q21" s="4">
        <f>SUM(Q7:Q17)</f>
        <v>0</v>
      </c>
      <c r="R21" s="4"/>
      <c r="S21" s="5"/>
    </row>
    <row r="22" spans="1:19" x14ac:dyDescent="0.5">
      <c r="A22" s="3"/>
      <c r="B22" s="4"/>
      <c r="C22" s="4"/>
      <c r="D22" s="4"/>
      <c r="E22" s="4"/>
      <c r="F22" s="4"/>
      <c r="G22" s="4"/>
      <c r="H22" s="4"/>
      <c r="I22" s="4"/>
      <c r="J22" s="5"/>
      <c r="K22" s="4"/>
      <c r="L22" s="4"/>
      <c r="M22" s="4"/>
      <c r="N22" s="4"/>
      <c r="O22" s="4"/>
      <c r="P22" s="4"/>
      <c r="Q22" s="4"/>
      <c r="R22" s="4"/>
      <c r="S22" s="5"/>
    </row>
    <row r="23" spans="1:19" x14ac:dyDescent="0.5">
      <c r="A23" s="3"/>
      <c r="B23" s="4"/>
      <c r="C23" s="4"/>
      <c r="D23" s="4"/>
      <c r="E23" s="4"/>
      <c r="F23" s="4"/>
      <c r="G23" s="4"/>
      <c r="H23" s="4"/>
      <c r="I23" s="4"/>
      <c r="J23" s="5"/>
      <c r="K23" s="4"/>
      <c r="L23" s="4"/>
      <c r="M23" s="4"/>
      <c r="N23" s="4"/>
      <c r="O23" s="4"/>
      <c r="P23" s="4"/>
      <c r="Q23" s="4"/>
      <c r="R23" s="4"/>
      <c r="S23" s="5"/>
    </row>
    <row r="24" spans="1:19" x14ac:dyDescent="0.5">
      <c r="A24" s="3"/>
      <c r="B24" s="4"/>
      <c r="C24" s="4"/>
      <c r="D24" s="4"/>
      <c r="E24" s="4"/>
      <c r="F24" s="4"/>
      <c r="G24" s="4"/>
      <c r="H24" s="4"/>
      <c r="I24" s="4"/>
      <c r="J24" s="5"/>
      <c r="K24" s="4"/>
      <c r="L24" s="4"/>
      <c r="M24" s="4"/>
      <c r="N24" s="4"/>
      <c r="O24" s="4"/>
      <c r="P24" s="4"/>
      <c r="Q24" s="4"/>
      <c r="R24" s="4"/>
      <c r="S24" s="5"/>
    </row>
    <row r="25" spans="1:19" x14ac:dyDescent="0.5">
      <c r="A25" s="3"/>
      <c r="B25" s="4"/>
      <c r="C25" s="7" t="s">
        <v>8</v>
      </c>
      <c r="D25" s="4">
        <f>C21+F21+I21</f>
        <v>3523</v>
      </c>
      <c r="E25" s="4"/>
      <c r="F25" s="4"/>
      <c r="G25" s="4"/>
      <c r="H25" s="4"/>
      <c r="I25" s="4"/>
      <c r="J25" s="5"/>
      <c r="K25" s="7" t="s">
        <v>4</v>
      </c>
      <c r="L25" s="4"/>
      <c r="M25" s="4"/>
      <c r="N25" s="4"/>
      <c r="O25" s="4"/>
      <c r="P25" s="4">
        <f>N21+Q21</f>
        <v>976</v>
      </c>
      <c r="Q25" s="4"/>
      <c r="R25" s="4"/>
      <c r="S25" s="5"/>
    </row>
    <row r="26" spans="1:19" x14ac:dyDescent="0.5">
      <c r="A26" s="3"/>
      <c r="B26" s="4"/>
      <c r="C26" s="4"/>
      <c r="D26" s="4"/>
      <c r="E26" s="4"/>
      <c r="F26" s="4"/>
      <c r="G26" s="4"/>
      <c r="H26" s="4"/>
      <c r="I26" s="4"/>
      <c r="J26" s="5"/>
      <c r="K26" s="4"/>
      <c r="L26" s="4"/>
      <c r="M26" s="4"/>
      <c r="N26" s="4"/>
      <c r="O26" s="4"/>
      <c r="P26" s="4"/>
      <c r="Q26" s="4"/>
      <c r="R26" s="4"/>
      <c r="S26" s="5"/>
    </row>
    <row r="27" spans="1:19" x14ac:dyDescent="0.5">
      <c r="A27" s="3"/>
      <c r="B27" s="4"/>
      <c r="C27" s="4"/>
      <c r="D27" s="4"/>
      <c r="E27" s="4"/>
      <c r="F27" s="4"/>
      <c r="G27" s="4"/>
      <c r="H27" s="4"/>
      <c r="I27" s="4"/>
      <c r="J27" s="5"/>
      <c r="K27" s="4"/>
      <c r="L27" s="4"/>
      <c r="M27" s="4"/>
      <c r="N27" s="4"/>
      <c r="O27" s="4"/>
      <c r="P27" s="4"/>
      <c r="Q27" s="4"/>
      <c r="R27" s="4"/>
      <c r="S27" s="5"/>
    </row>
    <row r="28" spans="1:19" x14ac:dyDescent="0.5">
      <c r="A28" s="3"/>
      <c r="B28" s="7" t="s">
        <v>74</v>
      </c>
      <c r="C28" s="4">
        <f>ABS(G4-D25)</f>
        <v>3523</v>
      </c>
      <c r="D28" s="4"/>
      <c r="E28" s="4"/>
      <c r="F28" s="4"/>
      <c r="G28" s="4"/>
      <c r="H28" s="4"/>
      <c r="I28" s="4"/>
      <c r="J28" s="5"/>
      <c r="K28" s="7" t="s">
        <v>21</v>
      </c>
      <c r="L28" s="4">
        <f>O4-P25</f>
        <v>504</v>
      </c>
      <c r="M28" s="4"/>
      <c r="N28" s="4"/>
      <c r="O28" s="4"/>
      <c r="P28" s="4"/>
      <c r="Q28" s="4"/>
      <c r="R28" s="4"/>
      <c r="S28" s="5"/>
    </row>
    <row r="29" spans="1:19" x14ac:dyDescent="0.5">
      <c r="A29" s="3"/>
      <c r="B29" s="4"/>
      <c r="C29" s="4"/>
      <c r="D29" s="4"/>
      <c r="E29" s="4"/>
      <c r="F29" s="4"/>
      <c r="G29" s="4"/>
      <c r="H29" s="4"/>
      <c r="I29" s="4"/>
      <c r="J29" s="5"/>
      <c r="K29" s="4"/>
      <c r="L29" s="4"/>
      <c r="M29" s="4"/>
      <c r="N29" s="4"/>
      <c r="O29" s="4"/>
      <c r="P29" s="4"/>
      <c r="Q29" s="4"/>
      <c r="R29" s="4"/>
      <c r="S29" s="5"/>
    </row>
    <row r="30" spans="1:19" x14ac:dyDescent="0.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5">
      <c r="A33" s="2"/>
      <c r="B33" s="7" t="s">
        <v>25</v>
      </c>
      <c r="C33" s="4">
        <f>H4-D25</f>
        <v>3192</v>
      </c>
      <c r="D33" s="4"/>
      <c r="E33" s="4"/>
      <c r="F33" s="4"/>
      <c r="G33" s="4"/>
      <c r="H33" s="4"/>
      <c r="I33" s="4"/>
      <c r="J33" s="4">
        <f>C28+L28</f>
        <v>4027</v>
      </c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5">
      <c r="A34" s="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x14ac:dyDescent="0.5">
      <c r="E35">
        <f>5.2+13.8+10.96+13+13+21+6.99+47+62+12+68+40</f>
        <v>312.95</v>
      </c>
    </row>
    <row r="38" spans="1:19" x14ac:dyDescent="0.5">
      <c r="I38" t="s">
        <v>208</v>
      </c>
      <c r="J38">
        <v>39</v>
      </c>
      <c r="L38" t="s">
        <v>214</v>
      </c>
      <c r="M38">
        <f>SUM(J38:J57)</f>
        <v>22002</v>
      </c>
    </row>
    <row r="39" spans="1:19" ht="16.5" x14ac:dyDescent="0.6">
      <c r="E39" s="13" t="s">
        <v>196</v>
      </c>
      <c r="F39">
        <v>500</v>
      </c>
      <c r="I39" t="s">
        <v>209</v>
      </c>
      <c r="J39">
        <v>100</v>
      </c>
    </row>
    <row r="40" spans="1:19" ht="16.5" x14ac:dyDescent="0.6">
      <c r="E40" s="13" t="s">
        <v>197</v>
      </c>
      <c r="F40">
        <v>800</v>
      </c>
      <c r="I40" t="s">
        <v>210</v>
      </c>
      <c r="J40">
        <v>21</v>
      </c>
    </row>
    <row r="41" spans="1:19" ht="16.5" x14ac:dyDescent="0.6">
      <c r="E41" s="13" t="s">
        <v>198</v>
      </c>
      <c r="F41">
        <v>200</v>
      </c>
      <c r="I41" t="s">
        <v>211</v>
      </c>
      <c r="J41">
        <v>20</v>
      </c>
    </row>
    <row r="42" spans="1:19" ht="16.5" x14ac:dyDescent="0.6">
      <c r="E42" s="13" t="s">
        <v>199</v>
      </c>
      <c r="F42">
        <v>2000</v>
      </c>
      <c r="I42" t="s">
        <v>212</v>
      </c>
      <c r="J42">
        <v>20</v>
      </c>
    </row>
    <row r="43" spans="1:19" ht="16.5" x14ac:dyDescent="0.6">
      <c r="E43" s="13" t="s">
        <v>205</v>
      </c>
      <c r="F43">
        <v>500</v>
      </c>
      <c r="I43" t="s">
        <v>212</v>
      </c>
      <c r="J43">
        <v>27</v>
      </c>
    </row>
    <row r="44" spans="1:19" ht="16.5" x14ac:dyDescent="0.6">
      <c r="E44" s="13" t="s">
        <v>200</v>
      </c>
      <c r="F44">
        <v>100</v>
      </c>
      <c r="I44" t="s">
        <v>213</v>
      </c>
      <c r="J44">
        <v>67</v>
      </c>
    </row>
    <row r="45" spans="1:19" ht="16.5" x14ac:dyDescent="0.6">
      <c r="E45" s="13" t="s">
        <v>201</v>
      </c>
      <c r="F45">
        <v>67</v>
      </c>
      <c r="I45" t="s">
        <v>22</v>
      </c>
      <c r="J45">
        <v>28</v>
      </c>
    </row>
    <row r="46" spans="1:19" ht="16.5" x14ac:dyDescent="0.6">
      <c r="E46" s="13" t="s">
        <v>202</v>
      </c>
      <c r="F46">
        <v>50</v>
      </c>
      <c r="I46" t="s">
        <v>215</v>
      </c>
      <c r="J46">
        <v>31</v>
      </c>
    </row>
    <row r="47" spans="1:19" ht="16.5" x14ac:dyDescent="0.6">
      <c r="E47" s="13" t="s">
        <v>203</v>
      </c>
      <c r="F47">
        <v>70</v>
      </c>
      <c r="I47" t="s">
        <v>216</v>
      </c>
      <c r="J47">
        <v>32</v>
      </c>
    </row>
    <row r="48" spans="1:19" ht="16.5" x14ac:dyDescent="0.6">
      <c r="E48" s="13" t="s">
        <v>204</v>
      </c>
      <c r="F48">
        <v>300</v>
      </c>
      <c r="I48" t="s">
        <v>217</v>
      </c>
      <c r="J48">
        <v>46</v>
      </c>
    </row>
    <row r="49" spans="2:10" ht="16.5" x14ac:dyDescent="0.6">
      <c r="E49" s="13" t="s">
        <v>206</v>
      </c>
      <c r="F49">
        <v>100</v>
      </c>
      <c r="I49" t="s">
        <v>24</v>
      </c>
      <c r="J49">
        <v>20914</v>
      </c>
    </row>
    <row r="50" spans="2:10" x14ac:dyDescent="0.5">
      <c r="I50" t="s">
        <v>219</v>
      </c>
      <c r="J50">
        <v>357</v>
      </c>
    </row>
    <row r="51" spans="2:10" x14ac:dyDescent="0.5">
      <c r="J51">
        <v>300</v>
      </c>
    </row>
    <row r="53" spans="2:10" x14ac:dyDescent="0.5">
      <c r="F53">
        <f>SUM(F39:F49)</f>
        <v>4687</v>
      </c>
    </row>
    <row r="61" spans="2:10" x14ac:dyDescent="0.5">
      <c r="B61" s="7" t="s">
        <v>2</v>
      </c>
      <c r="C61" s="4">
        <v>1900</v>
      </c>
    </row>
    <row r="97" spans="2:16" x14ac:dyDescent="0.5">
      <c r="B97">
        <v>3000</v>
      </c>
    </row>
    <row r="98" spans="2:16" x14ac:dyDescent="0.5">
      <c r="B98">
        <v>2500</v>
      </c>
      <c r="J98">
        <v>3000</v>
      </c>
    </row>
    <row r="99" spans="2:16" x14ac:dyDescent="0.5">
      <c r="B99">
        <v>2500</v>
      </c>
      <c r="J99">
        <v>600</v>
      </c>
    </row>
    <row r="100" spans="2:16" x14ac:dyDescent="0.5">
      <c r="B100">
        <v>800</v>
      </c>
    </row>
    <row r="101" spans="2:16" x14ac:dyDescent="0.5">
      <c r="B101">
        <v>700</v>
      </c>
    </row>
    <row r="105" spans="2:16" x14ac:dyDescent="0.5">
      <c r="B105">
        <f>SUM(B97:B101)</f>
        <v>9500</v>
      </c>
      <c r="D105">
        <f>B105-7000</f>
        <v>2500</v>
      </c>
    </row>
    <row r="106" spans="2:16" x14ac:dyDescent="0.5">
      <c r="P106">
        <v>126</v>
      </c>
    </row>
    <row r="107" spans="2:16" x14ac:dyDescent="0.5">
      <c r="P107" s="4">
        <v>12</v>
      </c>
    </row>
    <row r="108" spans="2:16" x14ac:dyDescent="0.5">
      <c r="P108" s="4">
        <v>10</v>
      </c>
    </row>
    <row r="109" spans="2:16" x14ac:dyDescent="0.5">
      <c r="P109" s="4">
        <v>20</v>
      </c>
    </row>
    <row r="110" spans="2:16" x14ac:dyDescent="0.5">
      <c r="P110" s="4">
        <v>20</v>
      </c>
    </row>
    <row r="111" spans="2:16" x14ac:dyDescent="0.5">
      <c r="P111" s="4">
        <v>20</v>
      </c>
    </row>
    <row r="112" spans="2:16" x14ac:dyDescent="0.5">
      <c r="P112" s="4">
        <v>3.99</v>
      </c>
    </row>
    <row r="113" spans="5:16" x14ac:dyDescent="0.5">
      <c r="P113" s="4">
        <v>100</v>
      </c>
    </row>
    <row r="114" spans="5:16" x14ac:dyDescent="0.5">
      <c r="E114">
        <v>1400</v>
      </c>
      <c r="P114" s="4">
        <v>75</v>
      </c>
    </row>
    <row r="115" spans="5:16" x14ac:dyDescent="0.5">
      <c r="E115">
        <v>1300</v>
      </c>
      <c r="P115" s="4">
        <v>60</v>
      </c>
    </row>
    <row r="116" spans="5:16" x14ac:dyDescent="0.5">
      <c r="E116">
        <v>950</v>
      </c>
      <c r="P116" s="4"/>
    </row>
    <row r="117" spans="5:16" x14ac:dyDescent="0.5">
      <c r="P117" s="4">
        <v>70</v>
      </c>
    </row>
    <row r="120" spans="5:16" x14ac:dyDescent="0.5">
      <c r="E120">
        <f>SUM(E114:E118)</f>
        <v>3650</v>
      </c>
    </row>
    <row r="124" spans="5:16" x14ac:dyDescent="0.5">
      <c r="P124">
        <f>SUM(P104:P121)</f>
        <v>516.99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EF4F2-05C7-496E-95E0-029BFF75893E}">
  <sheetPr codeName="Feuil12"/>
  <dimension ref="A1:T124"/>
  <sheetViews>
    <sheetView topLeftCell="A16" workbookViewId="0">
      <selection activeCell="C33" sqref="C33"/>
    </sheetView>
  </sheetViews>
  <sheetFormatPr baseColWidth="10" defaultRowHeight="15.75" x14ac:dyDescent="0.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0" x14ac:dyDescent="0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x14ac:dyDescent="0.5">
      <c r="A3" s="3"/>
      <c r="B3" s="2"/>
      <c r="C3" s="4"/>
      <c r="D3" s="4"/>
      <c r="E3" s="4"/>
      <c r="F3" s="4"/>
      <c r="G3" s="4"/>
      <c r="H3" s="4" t="s">
        <v>59</v>
      </c>
      <c r="I3" s="4" t="s">
        <v>60</v>
      </c>
      <c r="J3" s="5"/>
      <c r="K3" s="4"/>
      <c r="L3" s="4"/>
      <c r="M3" s="4"/>
      <c r="N3" s="4"/>
      <c r="O3" s="4"/>
      <c r="P3" s="4"/>
      <c r="Q3" s="4"/>
      <c r="R3" s="4"/>
      <c r="S3" s="5"/>
    </row>
    <row r="4" spans="1:20" x14ac:dyDescent="0.5">
      <c r="A4" s="3"/>
      <c r="B4" s="2"/>
      <c r="C4" s="4"/>
      <c r="D4" s="4"/>
      <c r="E4" s="6" t="s">
        <v>19</v>
      </c>
      <c r="F4" s="7" t="s">
        <v>5</v>
      </c>
      <c r="G4" s="4"/>
      <c r="H4" s="4">
        <v>7100</v>
      </c>
      <c r="I4" s="4"/>
      <c r="J4" s="5"/>
      <c r="K4" s="4"/>
      <c r="L4" s="4"/>
      <c r="M4" s="6" t="s">
        <v>20</v>
      </c>
      <c r="N4" s="7" t="s">
        <v>5</v>
      </c>
      <c r="O4" s="4">
        <v>1480</v>
      </c>
      <c r="P4" s="4"/>
      <c r="Q4" s="4"/>
      <c r="R4" s="4"/>
      <c r="S4" s="5"/>
    </row>
    <row r="5" spans="1:20" x14ac:dyDescent="0.5">
      <c r="A5" s="3"/>
      <c r="B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5"/>
    </row>
    <row r="6" spans="1:20" x14ac:dyDescent="0.5">
      <c r="A6" s="3"/>
      <c r="B6" s="2"/>
      <c r="C6" s="7" t="s">
        <v>16</v>
      </c>
      <c r="D6" s="8"/>
      <c r="E6" s="7" t="s">
        <v>17</v>
      </c>
      <c r="F6" s="8"/>
      <c r="G6" s="7"/>
      <c r="H6" s="7" t="s">
        <v>18</v>
      </c>
      <c r="I6" s="7"/>
      <c r="J6" s="5"/>
      <c r="K6" s="7" t="s">
        <v>16</v>
      </c>
      <c r="L6" s="8"/>
      <c r="M6" s="7" t="s">
        <v>17</v>
      </c>
      <c r="N6" s="8"/>
      <c r="O6" s="7"/>
      <c r="P6" s="7" t="s">
        <v>18</v>
      </c>
      <c r="Q6" s="7"/>
      <c r="R6" s="4"/>
      <c r="S6" s="5"/>
    </row>
    <row r="7" spans="1:20" x14ac:dyDescent="0.5">
      <c r="A7" s="3"/>
      <c r="B7" s="2" t="s">
        <v>46</v>
      </c>
      <c r="C7" s="4"/>
      <c r="D7" s="4"/>
      <c r="E7" s="2" t="s">
        <v>0</v>
      </c>
      <c r="F7" s="4">
        <v>1012</v>
      </c>
      <c r="G7" s="4"/>
      <c r="H7" s="2"/>
      <c r="I7" s="4"/>
      <c r="J7" s="5"/>
      <c r="K7" s="4"/>
      <c r="L7" s="4"/>
      <c r="M7" s="2" t="s">
        <v>26</v>
      </c>
      <c r="N7" s="4">
        <v>150</v>
      </c>
      <c r="O7" s="4"/>
      <c r="P7" s="2"/>
      <c r="Q7" s="4"/>
      <c r="R7" s="4"/>
      <c r="S7" s="5"/>
    </row>
    <row r="8" spans="1:20" x14ac:dyDescent="0.5">
      <c r="A8" s="3"/>
      <c r="B8" s="2"/>
      <c r="C8" s="4" t="s">
        <v>63</v>
      </c>
      <c r="D8" s="4"/>
      <c r="E8" s="2" t="s">
        <v>220</v>
      </c>
      <c r="F8" s="4">
        <v>1000</v>
      </c>
      <c r="G8" s="4"/>
      <c r="H8" s="2"/>
      <c r="I8" s="4"/>
      <c r="J8" s="5"/>
      <c r="K8" s="4"/>
      <c r="L8" s="4"/>
      <c r="M8" s="2" t="s">
        <v>49</v>
      </c>
      <c r="N8" s="4">
        <v>200</v>
      </c>
      <c r="O8" s="4"/>
      <c r="P8" s="2"/>
      <c r="Q8" s="4"/>
      <c r="R8" s="4"/>
      <c r="S8" s="5"/>
      <c r="T8">
        <v>50</v>
      </c>
    </row>
    <row r="9" spans="1:20" x14ac:dyDescent="0.5">
      <c r="A9" s="3"/>
      <c r="B9" s="2" t="s">
        <v>15</v>
      </c>
      <c r="C9" s="4"/>
      <c r="D9" s="4"/>
      <c r="E9" s="2" t="s">
        <v>47</v>
      </c>
      <c r="F9" s="4">
        <v>300</v>
      </c>
      <c r="G9" s="4"/>
      <c r="H9" s="2"/>
      <c r="I9" s="4"/>
      <c r="J9" s="5"/>
      <c r="K9" s="4"/>
      <c r="L9" s="4"/>
      <c r="M9" s="2" t="s">
        <v>50</v>
      </c>
      <c r="N9" s="4">
        <v>200</v>
      </c>
      <c r="O9" s="4"/>
      <c r="P9" s="2"/>
      <c r="Q9" s="4"/>
      <c r="R9" s="4"/>
      <c r="S9" s="5"/>
      <c r="T9">
        <v>200</v>
      </c>
    </row>
    <row r="10" spans="1:20" x14ac:dyDescent="0.5">
      <c r="A10" s="3"/>
      <c r="B10" s="2" t="s">
        <v>221</v>
      </c>
      <c r="C10" s="4">
        <v>200</v>
      </c>
      <c r="D10" s="4"/>
      <c r="E10" s="2" t="s">
        <v>187</v>
      </c>
      <c r="F10" s="4">
        <v>30</v>
      </c>
      <c r="G10" s="4"/>
      <c r="H10" s="2"/>
      <c r="I10" s="4"/>
      <c r="J10" s="5"/>
      <c r="K10" s="4"/>
      <c r="L10" s="4"/>
      <c r="M10" s="2" t="s">
        <v>51</v>
      </c>
      <c r="N10" s="4">
        <v>300</v>
      </c>
      <c r="O10" s="4"/>
      <c r="P10" s="2"/>
      <c r="Q10" s="4"/>
      <c r="R10" s="4"/>
      <c r="S10" s="5"/>
      <c r="T10">
        <v>150</v>
      </c>
    </row>
    <row r="11" spans="1:20" x14ac:dyDescent="0.5">
      <c r="A11" s="3"/>
      <c r="B11" s="2" t="s">
        <v>195</v>
      </c>
      <c r="C11" s="4">
        <v>198</v>
      </c>
      <c r="D11" s="4"/>
      <c r="E11" s="2" t="s">
        <v>1</v>
      </c>
      <c r="F11" s="4">
        <v>157</v>
      </c>
      <c r="G11" s="4"/>
      <c r="J11" s="5"/>
      <c r="K11" s="4"/>
      <c r="L11" s="4"/>
      <c r="M11" s="2" t="s">
        <v>52</v>
      </c>
      <c r="N11" s="4">
        <v>100</v>
      </c>
      <c r="O11" s="4"/>
      <c r="P11" s="2"/>
      <c r="Q11" s="4"/>
      <c r="R11" s="4"/>
      <c r="S11" s="5"/>
      <c r="T11">
        <v>160</v>
      </c>
    </row>
    <row r="12" spans="1:20" x14ac:dyDescent="0.5">
      <c r="A12" s="3"/>
      <c r="B12" s="2" t="s">
        <v>223</v>
      </c>
      <c r="C12" s="4">
        <v>500</v>
      </c>
      <c r="D12" s="4"/>
      <c r="E12" s="2" t="s">
        <v>9</v>
      </c>
      <c r="F12" s="4">
        <v>300</v>
      </c>
      <c r="G12" s="4"/>
      <c r="J12" s="5"/>
      <c r="K12" s="4"/>
      <c r="L12" s="4"/>
      <c r="M12" s="2" t="s">
        <v>53</v>
      </c>
      <c r="N12" s="4">
        <v>13</v>
      </c>
      <c r="O12" s="4"/>
      <c r="P12" s="2"/>
      <c r="Q12" s="4"/>
      <c r="R12" s="4"/>
      <c r="S12" s="5"/>
    </row>
    <row r="13" spans="1:20" x14ac:dyDescent="0.5">
      <c r="A13" s="3"/>
      <c r="B13" s="2" t="s">
        <v>224</v>
      </c>
      <c r="C13" s="4">
        <v>150</v>
      </c>
      <c r="D13" s="4"/>
      <c r="E13" s="2" t="s">
        <v>13</v>
      </c>
      <c r="F13" s="4">
        <v>12</v>
      </c>
      <c r="G13" s="4"/>
      <c r="J13" s="5"/>
      <c r="K13" s="4"/>
      <c r="L13" s="4"/>
      <c r="M13" s="2" t="s">
        <v>54</v>
      </c>
      <c r="N13" s="4">
        <v>13</v>
      </c>
      <c r="O13" s="4"/>
      <c r="P13" s="2"/>
      <c r="Q13" s="4"/>
      <c r="R13" s="4"/>
      <c r="S13" s="5"/>
    </row>
    <row r="14" spans="1:20" x14ac:dyDescent="0.5">
      <c r="A14" s="3"/>
      <c r="B14" s="2" t="s">
        <v>110</v>
      </c>
      <c r="C14" s="4">
        <v>1500</v>
      </c>
      <c r="D14" s="4"/>
      <c r="E14" s="2" t="s">
        <v>14</v>
      </c>
      <c r="F14" s="4">
        <v>13</v>
      </c>
      <c r="G14" s="4"/>
      <c r="J14" s="5"/>
      <c r="K14" s="4"/>
      <c r="L14" s="4"/>
      <c r="M14" s="2"/>
      <c r="N14" s="4"/>
      <c r="O14" s="4"/>
      <c r="P14" s="2"/>
      <c r="Q14" s="4"/>
      <c r="R14" s="4"/>
      <c r="S14" s="5"/>
      <c r="T14">
        <f>SUM(T8:T11)</f>
        <v>560</v>
      </c>
    </row>
    <row r="15" spans="1:20" x14ac:dyDescent="0.5">
      <c r="A15" s="3"/>
      <c r="B15" s="2"/>
      <c r="C15" s="4"/>
      <c r="D15" s="4"/>
      <c r="E15" s="2" t="s">
        <v>56</v>
      </c>
      <c r="F15" s="4">
        <v>100</v>
      </c>
      <c r="G15" s="4"/>
      <c r="H15" s="2"/>
      <c r="I15" s="4"/>
      <c r="J15" s="5"/>
      <c r="K15" s="4"/>
      <c r="L15" s="4"/>
      <c r="M15" s="2"/>
      <c r="N15" s="4"/>
      <c r="O15" s="4"/>
      <c r="P15" s="2"/>
      <c r="Q15" s="4"/>
      <c r="R15" s="4"/>
      <c r="S15" s="5"/>
    </row>
    <row r="16" spans="1:20" x14ac:dyDescent="0.5">
      <c r="A16" s="3"/>
      <c r="B16" s="2"/>
      <c r="C16" s="4"/>
      <c r="D16" s="4"/>
      <c r="E16" s="2" t="s">
        <v>222</v>
      </c>
      <c r="F16" s="4">
        <v>100</v>
      </c>
      <c r="G16" s="4"/>
      <c r="H16" s="4"/>
      <c r="I16" s="4"/>
      <c r="J16" s="5"/>
      <c r="K16" s="4"/>
      <c r="L16" s="4"/>
      <c r="M16" s="2"/>
      <c r="N16" s="4"/>
      <c r="O16" s="4"/>
      <c r="P16" s="4"/>
      <c r="Q16" s="4"/>
      <c r="R16" s="4"/>
      <c r="S16" s="5"/>
    </row>
    <row r="17" spans="1:19" x14ac:dyDescent="0.5">
      <c r="A17" s="3"/>
      <c r="B17" s="2"/>
      <c r="C17" s="4"/>
      <c r="D17" s="4"/>
      <c r="E17" s="2"/>
      <c r="F17" s="4"/>
      <c r="G17" s="4"/>
      <c r="H17" s="4"/>
      <c r="I17" s="4"/>
      <c r="J17" s="5"/>
      <c r="K17" s="4"/>
      <c r="L17" s="4"/>
      <c r="M17" s="2"/>
      <c r="N17" s="4"/>
      <c r="O17" s="4"/>
      <c r="P17" s="4"/>
      <c r="Q17" s="4"/>
      <c r="R17" s="4"/>
      <c r="S17" s="5"/>
    </row>
    <row r="18" spans="1:19" x14ac:dyDescent="0.5">
      <c r="A18" s="3"/>
      <c r="B18" s="4"/>
      <c r="C18" s="4"/>
      <c r="D18" s="4"/>
      <c r="E18" s="2"/>
      <c r="F18" s="4"/>
      <c r="G18" s="4"/>
      <c r="H18" s="4"/>
      <c r="I18" s="4"/>
      <c r="J18" s="5"/>
      <c r="K18" s="4"/>
      <c r="L18" s="4"/>
      <c r="M18" s="4"/>
      <c r="N18" s="4"/>
      <c r="O18" s="4"/>
      <c r="P18" s="4"/>
      <c r="Q18" s="4"/>
      <c r="R18" s="4"/>
      <c r="S18" s="5"/>
    </row>
    <row r="19" spans="1:19" x14ac:dyDescent="0.5">
      <c r="A19" s="3"/>
      <c r="B19" s="4"/>
      <c r="C19" s="4"/>
      <c r="D19" s="4"/>
      <c r="E19" s="4"/>
      <c r="F19" s="4"/>
      <c r="G19" s="4"/>
      <c r="H19" s="4"/>
      <c r="I19" s="4"/>
      <c r="J19" s="5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5">
      <c r="A20" s="3"/>
      <c r="B20" s="4"/>
      <c r="C20" s="4"/>
      <c r="D20" s="4"/>
      <c r="G20" s="4"/>
      <c r="H20" s="4"/>
      <c r="I20" s="4"/>
      <c r="J20" s="5"/>
      <c r="K20" s="4"/>
      <c r="L20" s="4"/>
      <c r="M20" s="4"/>
      <c r="N20" s="4"/>
      <c r="O20" s="4"/>
      <c r="P20" s="4"/>
      <c r="Q20" s="4"/>
      <c r="R20" s="4"/>
      <c r="S20" s="5"/>
    </row>
    <row r="21" spans="1:19" x14ac:dyDescent="0.5">
      <c r="A21" s="3"/>
      <c r="B21" s="7" t="s">
        <v>4</v>
      </c>
      <c r="C21" s="4">
        <f>SUM(C7:C18)</f>
        <v>2548</v>
      </c>
      <c r="D21" s="4"/>
      <c r="E21" s="4"/>
      <c r="F21" s="4">
        <f>SUM(F7:F19)+150</f>
        <v>3174</v>
      </c>
      <c r="G21" s="4"/>
      <c r="H21" s="4"/>
      <c r="I21" s="4">
        <f>SUM(I7:I18)</f>
        <v>0</v>
      </c>
      <c r="J21" s="5"/>
      <c r="K21" s="4"/>
      <c r="L21" s="4"/>
      <c r="M21" s="4"/>
      <c r="N21" s="4">
        <f>SUM(N7:N18)</f>
        <v>976</v>
      </c>
      <c r="O21" s="4"/>
      <c r="P21" s="4"/>
      <c r="Q21" s="4">
        <f>SUM(Q7:Q17)</f>
        <v>0</v>
      </c>
      <c r="R21" s="4"/>
      <c r="S21" s="5"/>
    </row>
    <row r="22" spans="1:19" x14ac:dyDescent="0.5">
      <c r="A22" s="3"/>
      <c r="B22" s="4"/>
      <c r="C22" s="4"/>
      <c r="D22" s="4"/>
      <c r="E22" s="4"/>
      <c r="F22" s="4"/>
      <c r="G22" s="4"/>
      <c r="H22" s="4"/>
      <c r="I22" s="4"/>
      <c r="J22" s="5"/>
      <c r="K22" s="4"/>
      <c r="L22" s="4"/>
      <c r="M22" s="4"/>
      <c r="N22" s="4"/>
      <c r="O22" s="4"/>
      <c r="P22" s="4"/>
      <c r="Q22" s="4"/>
      <c r="R22" s="4"/>
      <c r="S22" s="5"/>
    </row>
    <row r="23" spans="1:19" x14ac:dyDescent="0.5">
      <c r="A23" s="3"/>
      <c r="B23" s="4"/>
      <c r="C23" s="4"/>
      <c r="D23" s="4"/>
      <c r="E23" s="4"/>
      <c r="F23" s="4"/>
      <c r="G23" s="4"/>
      <c r="H23" s="4"/>
      <c r="I23" s="4"/>
      <c r="J23" s="5"/>
      <c r="K23" s="4"/>
      <c r="L23" s="4"/>
      <c r="M23" s="4"/>
      <c r="N23" s="4"/>
      <c r="O23" s="4"/>
      <c r="P23" s="4"/>
      <c r="Q23" s="4"/>
      <c r="R23" s="4"/>
      <c r="S23" s="5"/>
    </row>
    <row r="24" spans="1:19" x14ac:dyDescent="0.5">
      <c r="A24" s="3"/>
      <c r="B24" s="4"/>
      <c r="C24" s="4"/>
      <c r="D24" s="4"/>
      <c r="E24" s="4"/>
      <c r="F24" s="4"/>
      <c r="G24" s="4"/>
      <c r="H24" s="4"/>
      <c r="I24" s="4"/>
      <c r="J24" s="5"/>
      <c r="K24" s="4"/>
      <c r="L24" s="4"/>
      <c r="M24" s="4"/>
      <c r="N24" s="4"/>
      <c r="O24" s="4"/>
      <c r="P24" s="4"/>
      <c r="Q24" s="4"/>
      <c r="R24" s="4"/>
      <c r="S24" s="5"/>
    </row>
    <row r="25" spans="1:19" x14ac:dyDescent="0.5">
      <c r="A25" s="3"/>
      <c r="B25" s="4"/>
      <c r="C25" s="7" t="s">
        <v>8</v>
      </c>
      <c r="D25" s="4">
        <f>C21+F21+I21</f>
        <v>5722</v>
      </c>
      <c r="E25" s="4"/>
      <c r="F25" s="4"/>
      <c r="G25" s="4"/>
      <c r="H25" s="4"/>
      <c r="I25" s="4"/>
      <c r="J25" s="5"/>
      <c r="K25" s="7" t="s">
        <v>4</v>
      </c>
      <c r="L25" s="4"/>
      <c r="M25" s="4"/>
      <c r="N25" s="4"/>
      <c r="O25" s="4"/>
      <c r="P25" s="4">
        <f>N21+Q21</f>
        <v>976</v>
      </c>
      <c r="Q25" s="4"/>
      <c r="R25" s="4"/>
      <c r="S25" s="5"/>
    </row>
    <row r="26" spans="1:19" x14ac:dyDescent="0.5">
      <c r="A26" s="3"/>
      <c r="B26" s="4"/>
      <c r="C26" s="4"/>
      <c r="D26" s="4"/>
      <c r="E26" s="4"/>
      <c r="F26" s="4"/>
      <c r="G26" s="4"/>
      <c r="H26" s="4"/>
      <c r="I26" s="4"/>
      <c r="J26" s="5"/>
      <c r="K26" s="4"/>
      <c r="L26" s="4"/>
      <c r="M26" s="4"/>
      <c r="N26" s="4"/>
      <c r="O26" s="4"/>
      <c r="P26" s="4"/>
      <c r="Q26" s="4"/>
      <c r="R26" s="4"/>
      <c r="S26" s="5"/>
    </row>
    <row r="27" spans="1:19" x14ac:dyDescent="0.5">
      <c r="A27" s="3"/>
      <c r="B27" s="4"/>
      <c r="C27" s="4"/>
      <c r="D27" s="4"/>
      <c r="E27" s="4"/>
      <c r="F27" s="4"/>
      <c r="G27" s="4"/>
      <c r="H27" s="4"/>
      <c r="I27" s="4"/>
      <c r="J27" s="5"/>
      <c r="K27" s="4"/>
      <c r="L27" s="4"/>
      <c r="M27" s="4"/>
      <c r="N27" s="4"/>
      <c r="O27" s="4"/>
      <c r="P27" s="4"/>
      <c r="Q27" s="4"/>
      <c r="R27" s="4"/>
      <c r="S27" s="5"/>
    </row>
    <row r="28" spans="1:19" x14ac:dyDescent="0.5">
      <c r="A28" s="3"/>
      <c r="B28" s="7" t="s">
        <v>74</v>
      </c>
      <c r="C28" s="4">
        <f>ABS(G4-D25)</f>
        <v>5722</v>
      </c>
      <c r="D28" s="4"/>
      <c r="E28" s="4"/>
      <c r="F28" s="4"/>
      <c r="G28" s="4"/>
      <c r="H28" s="4"/>
      <c r="I28" s="4"/>
      <c r="J28" s="5"/>
      <c r="K28" s="7" t="s">
        <v>21</v>
      </c>
      <c r="L28" s="4">
        <f>O4-P25</f>
        <v>504</v>
      </c>
      <c r="M28" s="4"/>
      <c r="N28" s="4"/>
      <c r="O28" s="4"/>
      <c r="P28" s="4"/>
      <c r="Q28" s="4"/>
      <c r="R28" s="4"/>
      <c r="S28" s="5"/>
    </row>
    <row r="29" spans="1:19" x14ac:dyDescent="0.5">
      <c r="A29" s="3"/>
      <c r="B29" s="4"/>
      <c r="C29" s="4"/>
      <c r="D29" s="4"/>
      <c r="E29" s="4"/>
      <c r="F29" s="4"/>
      <c r="G29" s="4"/>
      <c r="H29" s="4"/>
      <c r="I29" s="4"/>
      <c r="J29" s="5"/>
      <c r="K29" s="4"/>
      <c r="L29" s="4"/>
      <c r="M29" s="4"/>
      <c r="N29" s="4"/>
      <c r="O29" s="4"/>
      <c r="P29" s="4"/>
      <c r="Q29" s="4"/>
      <c r="R29" s="4"/>
      <c r="S29" s="5"/>
    </row>
    <row r="30" spans="1:19" x14ac:dyDescent="0.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5">
      <c r="A33" s="2"/>
      <c r="B33" s="7" t="s">
        <v>25</v>
      </c>
      <c r="C33" s="4">
        <f>H4-D25</f>
        <v>1378</v>
      </c>
      <c r="D33" s="4"/>
      <c r="E33" s="4"/>
      <c r="F33" s="4"/>
      <c r="G33" s="4"/>
      <c r="H33" s="4"/>
      <c r="I33" s="4"/>
      <c r="J33" s="4">
        <f>C28+L28</f>
        <v>6226</v>
      </c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5">
      <c r="A34" s="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x14ac:dyDescent="0.5">
      <c r="E35">
        <f>5.2+13.8+10.96+13+13+21+6.99+47+62+12+68+40</f>
        <v>312.95</v>
      </c>
    </row>
    <row r="38" spans="1:19" x14ac:dyDescent="0.5">
      <c r="I38" t="s">
        <v>208</v>
      </c>
      <c r="J38">
        <v>39</v>
      </c>
      <c r="L38" t="s">
        <v>214</v>
      </c>
      <c r="M38">
        <f>SUM(J38:J57)</f>
        <v>22002</v>
      </c>
    </row>
    <row r="39" spans="1:19" ht="16.5" x14ac:dyDescent="0.6">
      <c r="E39" s="13" t="s">
        <v>196</v>
      </c>
      <c r="F39">
        <v>500</v>
      </c>
      <c r="I39" t="s">
        <v>209</v>
      </c>
      <c r="J39">
        <v>100</v>
      </c>
    </row>
    <row r="40" spans="1:19" ht="16.5" x14ac:dyDescent="0.6">
      <c r="E40" s="13" t="s">
        <v>197</v>
      </c>
      <c r="F40">
        <v>800</v>
      </c>
      <c r="I40" t="s">
        <v>210</v>
      </c>
      <c r="J40">
        <v>21</v>
      </c>
    </row>
    <row r="41" spans="1:19" ht="16.5" x14ac:dyDescent="0.6">
      <c r="E41" s="13" t="s">
        <v>198</v>
      </c>
      <c r="F41">
        <v>200</v>
      </c>
      <c r="I41" t="s">
        <v>211</v>
      </c>
      <c r="J41">
        <v>20</v>
      </c>
    </row>
    <row r="42" spans="1:19" ht="16.5" x14ac:dyDescent="0.6">
      <c r="E42" s="13" t="s">
        <v>199</v>
      </c>
      <c r="F42">
        <v>2000</v>
      </c>
      <c r="I42" t="s">
        <v>212</v>
      </c>
      <c r="J42">
        <v>20</v>
      </c>
    </row>
    <row r="43" spans="1:19" ht="16.5" x14ac:dyDescent="0.6">
      <c r="E43" s="13" t="s">
        <v>205</v>
      </c>
      <c r="F43">
        <v>500</v>
      </c>
      <c r="I43" t="s">
        <v>212</v>
      </c>
      <c r="J43">
        <v>27</v>
      </c>
    </row>
    <row r="44" spans="1:19" ht="16.5" x14ac:dyDescent="0.6">
      <c r="E44" s="13" t="s">
        <v>200</v>
      </c>
      <c r="F44">
        <v>100</v>
      </c>
      <c r="I44" t="s">
        <v>213</v>
      </c>
      <c r="J44">
        <v>67</v>
      </c>
    </row>
    <row r="45" spans="1:19" ht="16.5" x14ac:dyDescent="0.6">
      <c r="E45" s="13" t="s">
        <v>201</v>
      </c>
      <c r="F45">
        <v>67</v>
      </c>
      <c r="I45" t="s">
        <v>22</v>
      </c>
      <c r="J45">
        <v>28</v>
      </c>
    </row>
    <row r="46" spans="1:19" ht="16.5" x14ac:dyDescent="0.6">
      <c r="E46" s="13" t="s">
        <v>202</v>
      </c>
      <c r="F46">
        <v>50</v>
      </c>
      <c r="I46" t="s">
        <v>215</v>
      </c>
      <c r="J46">
        <v>31</v>
      </c>
    </row>
    <row r="47" spans="1:19" ht="16.5" x14ac:dyDescent="0.6">
      <c r="E47" s="13" t="s">
        <v>203</v>
      </c>
      <c r="F47">
        <v>70</v>
      </c>
      <c r="I47" t="s">
        <v>216</v>
      </c>
      <c r="J47">
        <v>32</v>
      </c>
    </row>
    <row r="48" spans="1:19" ht="16.5" x14ac:dyDescent="0.6">
      <c r="E48" s="13" t="s">
        <v>204</v>
      </c>
      <c r="F48">
        <v>300</v>
      </c>
      <c r="I48" t="s">
        <v>217</v>
      </c>
      <c r="J48">
        <v>46</v>
      </c>
    </row>
    <row r="49" spans="2:10" ht="16.5" x14ac:dyDescent="0.6">
      <c r="E49" s="13" t="s">
        <v>206</v>
      </c>
      <c r="F49">
        <v>100</v>
      </c>
      <c r="I49" t="s">
        <v>24</v>
      </c>
      <c r="J49">
        <v>20914</v>
      </c>
    </row>
    <row r="50" spans="2:10" x14ac:dyDescent="0.5">
      <c r="I50" t="s">
        <v>219</v>
      </c>
      <c r="J50">
        <v>357</v>
      </c>
    </row>
    <row r="51" spans="2:10" x14ac:dyDescent="0.5">
      <c r="J51">
        <v>300</v>
      </c>
    </row>
    <row r="53" spans="2:10" x14ac:dyDescent="0.5">
      <c r="F53">
        <f>SUM(F39:F49)</f>
        <v>4687</v>
      </c>
    </row>
    <row r="61" spans="2:10" x14ac:dyDescent="0.5">
      <c r="B61" s="7" t="s">
        <v>2</v>
      </c>
      <c r="C61" s="4">
        <v>1900</v>
      </c>
    </row>
    <row r="97" spans="2:16" x14ac:dyDescent="0.5">
      <c r="B97">
        <v>3000</v>
      </c>
    </row>
    <row r="98" spans="2:16" x14ac:dyDescent="0.5">
      <c r="B98">
        <v>2500</v>
      </c>
      <c r="J98">
        <v>3000</v>
      </c>
    </row>
    <row r="99" spans="2:16" x14ac:dyDescent="0.5">
      <c r="B99">
        <v>2500</v>
      </c>
      <c r="J99">
        <v>600</v>
      </c>
    </row>
    <row r="100" spans="2:16" x14ac:dyDescent="0.5">
      <c r="B100">
        <v>800</v>
      </c>
    </row>
    <row r="101" spans="2:16" x14ac:dyDescent="0.5">
      <c r="B101">
        <v>700</v>
      </c>
    </row>
    <row r="105" spans="2:16" x14ac:dyDescent="0.5">
      <c r="B105">
        <f>SUM(B97:B101)</f>
        <v>9500</v>
      </c>
      <c r="D105">
        <f>B105-7000</f>
        <v>2500</v>
      </c>
    </row>
    <row r="106" spans="2:16" x14ac:dyDescent="0.5">
      <c r="P106">
        <v>126</v>
      </c>
    </row>
    <row r="107" spans="2:16" x14ac:dyDescent="0.5">
      <c r="P107" s="4">
        <v>12</v>
      </c>
    </row>
    <row r="108" spans="2:16" x14ac:dyDescent="0.5">
      <c r="P108" s="4">
        <v>10</v>
      </c>
    </row>
    <row r="109" spans="2:16" x14ac:dyDescent="0.5">
      <c r="P109" s="4">
        <v>20</v>
      </c>
    </row>
    <row r="110" spans="2:16" x14ac:dyDescent="0.5">
      <c r="P110" s="4">
        <v>20</v>
      </c>
    </row>
    <row r="111" spans="2:16" x14ac:dyDescent="0.5">
      <c r="P111" s="4">
        <v>20</v>
      </c>
    </row>
    <row r="112" spans="2:16" x14ac:dyDescent="0.5">
      <c r="P112" s="4">
        <v>3.99</v>
      </c>
    </row>
    <row r="113" spans="5:16" x14ac:dyDescent="0.5">
      <c r="P113" s="4">
        <v>100</v>
      </c>
    </row>
    <row r="114" spans="5:16" x14ac:dyDescent="0.5">
      <c r="E114">
        <v>1400</v>
      </c>
      <c r="P114" s="4">
        <v>75</v>
      </c>
    </row>
    <row r="115" spans="5:16" x14ac:dyDescent="0.5">
      <c r="E115">
        <v>1300</v>
      </c>
      <c r="P115" s="4">
        <v>60</v>
      </c>
    </row>
    <row r="116" spans="5:16" x14ac:dyDescent="0.5">
      <c r="E116">
        <v>950</v>
      </c>
      <c r="P116" s="4"/>
    </row>
    <row r="117" spans="5:16" x14ac:dyDescent="0.5">
      <c r="P117" s="4">
        <v>70</v>
      </c>
    </row>
    <row r="120" spans="5:16" x14ac:dyDescent="0.5">
      <c r="E120">
        <f>SUM(E114:E118)</f>
        <v>3650</v>
      </c>
    </row>
    <row r="124" spans="5:16" x14ac:dyDescent="0.5">
      <c r="P124">
        <f>SUM(P104:P121)</f>
        <v>516.99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0046-6E8B-4E7A-BFB8-85F96EC96DBD}">
  <sheetPr codeName="Feuil13"/>
  <dimension ref="A1:T124"/>
  <sheetViews>
    <sheetView topLeftCell="A4" workbookViewId="0">
      <selection activeCell="C33" sqref="C33"/>
    </sheetView>
  </sheetViews>
  <sheetFormatPr baseColWidth="10" defaultRowHeight="15.75" x14ac:dyDescent="0.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0" x14ac:dyDescent="0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x14ac:dyDescent="0.5">
      <c r="A3" s="3"/>
      <c r="B3" s="2"/>
      <c r="C3" s="4"/>
      <c r="D3" s="4"/>
      <c r="E3" s="4"/>
      <c r="F3" s="4"/>
      <c r="G3" s="4"/>
      <c r="H3" s="4" t="s">
        <v>59</v>
      </c>
      <c r="I3" s="4" t="s">
        <v>60</v>
      </c>
      <c r="J3" s="5"/>
      <c r="K3" s="4"/>
      <c r="L3" s="4"/>
      <c r="M3" s="4"/>
      <c r="N3" s="4"/>
      <c r="O3" s="4"/>
      <c r="P3" s="4"/>
      <c r="Q3" s="4"/>
      <c r="R3" s="4"/>
      <c r="S3" s="5"/>
    </row>
    <row r="4" spans="1:20" x14ac:dyDescent="0.5">
      <c r="A4" s="3"/>
      <c r="B4" s="2"/>
      <c r="C4" s="4"/>
      <c r="D4" s="4"/>
      <c r="E4" s="6" t="s">
        <v>19</v>
      </c>
      <c r="F4" s="7" t="s">
        <v>5</v>
      </c>
      <c r="G4" s="4"/>
      <c r="H4" s="4">
        <v>6500</v>
      </c>
      <c r="I4" s="4"/>
      <c r="J4" s="5"/>
      <c r="K4" s="4"/>
      <c r="L4" s="4"/>
      <c r="M4" s="6" t="s">
        <v>20</v>
      </c>
      <c r="N4" s="7" t="s">
        <v>5</v>
      </c>
      <c r="O4" s="4">
        <v>1480</v>
      </c>
      <c r="P4" s="4"/>
      <c r="Q4" s="4"/>
      <c r="R4" s="4"/>
      <c r="S4" s="5"/>
    </row>
    <row r="5" spans="1:20" x14ac:dyDescent="0.5">
      <c r="A5" s="3"/>
      <c r="B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5"/>
    </row>
    <row r="6" spans="1:20" x14ac:dyDescent="0.5">
      <c r="A6" s="3"/>
      <c r="B6" s="2"/>
      <c r="C6" s="7" t="s">
        <v>16</v>
      </c>
      <c r="D6" s="8"/>
      <c r="E6" s="7" t="s">
        <v>17</v>
      </c>
      <c r="F6" s="8"/>
      <c r="G6" s="7"/>
      <c r="H6" s="7" t="s">
        <v>18</v>
      </c>
      <c r="I6" s="7"/>
      <c r="J6" s="5"/>
      <c r="K6" s="7" t="s">
        <v>16</v>
      </c>
      <c r="L6" s="8"/>
      <c r="M6" s="7" t="s">
        <v>17</v>
      </c>
      <c r="N6" s="8"/>
      <c r="O6" s="7"/>
      <c r="P6" s="7" t="s">
        <v>18</v>
      </c>
      <c r="Q6" s="7"/>
      <c r="R6" s="4"/>
      <c r="S6" s="5"/>
    </row>
    <row r="7" spans="1:20" x14ac:dyDescent="0.5">
      <c r="A7" s="3"/>
      <c r="B7" s="2" t="s">
        <v>46</v>
      </c>
      <c r="C7" s="4"/>
      <c r="D7" s="4"/>
      <c r="E7" s="2" t="s">
        <v>0</v>
      </c>
      <c r="F7" s="4">
        <v>1012</v>
      </c>
      <c r="G7" s="4"/>
      <c r="H7" s="2"/>
      <c r="I7" s="4"/>
      <c r="J7" s="5"/>
      <c r="K7" s="4"/>
      <c r="L7" s="4"/>
      <c r="M7" s="2" t="s">
        <v>26</v>
      </c>
      <c r="N7" s="4">
        <v>150</v>
      </c>
      <c r="O7" s="4"/>
      <c r="P7" s="2"/>
      <c r="Q7" s="4"/>
      <c r="R7" s="4"/>
      <c r="S7" s="5"/>
    </row>
    <row r="8" spans="1:20" x14ac:dyDescent="0.5">
      <c r="A8" s="3"/>
      <c r="B8" s="2"/>
      <c r="C8" s="4" t="s">
        <v>63</v>
      </c>
      <c r="D8" s="4"/>
      <c r="E8" s="2" t="s">
        <v>220</v>
      </c>
      <c r="F8" s="4">
        <v>800</v>
      </c>
      <c r="G8" s="4"/>
      <c r="H8" s="2"/>
      <c r="I8" s="4"/>
      <c r="J8" s="5"/>
      <c r="K8" s="4"/>
      <c r="L8" s="4"/>
      <c r="M8" s="2" t="s">
        <v>49</v>
      </c>
      <c r="N8" s="4">
        <v>200</v>
      </c>
      <c r="O8" s="4"/>
      <c r="P8" s="2"/>
      <c r="Q8" s="4"/>
      <c r="R8" s="4"/>
      <c r="S8" s="5"/>
      <c r="T8">
        <v>50</v>
      </c>
    </row>
    <row r="9" spans="1:20" x14ac:dyDescent="0.5">
      <c r="A9" s="3"/>
      <c r="B9" s="2" t="s">
        <v>15</v>
      </c>
      <c r="C9" s="4"/>
      <c r="D9" s="4"/>
      <c r="E9" s="2" t="s">
        <v>47</v>
      </c>
      <c r="F9" s="4">
        <v>300</v>
      </c>
      <c r="G9" s="4"/>
      <c r="H9" s="2"/>
      <c r="I9" s="4"/>
      <c r="J9" s="5"/>
      <c r="K9" s="4"/>
      <c r="L9" s="4"/>
      <c r="M9" s="2" t="s">
        <v>50</v>
      </c>
      <c r="N9" s="4">
        <v>200</v>
      </c>
      <c r="O9" s="4"/>
      <c r="P9" s="2"/>
      <c r="Q9" s="4"/>
      <c r="R9" s="4"/>
      <c r="S9" s="5"/>
      <c r="T9">
        <v>200</v>
      </c>
    </row>
    <row r="10" spans="1:20" x14ac:dyDescent="0.5">
      <c r="A10" s="3"/>
      <c r="B10" s="2" t="s">
        <v>221</v>
      </c>
      <c r="C10" s="4">
        <v>350</v>
      </c>
      <c r="D10" s="4"/>
      <c r="E10" s="2" t="s">
        <v>187</v>
      </c>
      <c r="F10" s="4">
        <v>50</v>
      </c>
      <c r="G10" s="4"/>
      <c r="H10" s="2"/>
      <c r="I10" s="4"/>
      <c r="J10" s="5"/>
      <c r="K10" s="4"/>
      <c r="L10" s="4"/>
      <c r="M10" s="2" t="s">
        <v>51</v>
      </c>
      <c r="N10" s="4">
        <v>300</v>
      </c>
      <c r="O10" s="4"/>
      <c r="P10" s="2"/>
      <c r="Q10" s="4"/>
      <c r="R10" s="4"/>
      <c r="S10" s="5"/>
      <c r="T10">
        <v>150</v>
      </c>
    </row>
    <row r="11" spans="1:20" x14ac:dyDescent="0.5">
      <c r="A11" s="3"/>
      <c r="B11" s="2" t="s">
        <v>195</v>
      </c>
      <c r="C11" s="4">
        <v>198</v>
      </c>
      <c r="D11" s="4"/>
      <c r="E11" s="2" t="s">
        <v>1</v>
      </c>
      <c r="F11" s="4">
        <v>157</v>
      </c>
      <c r="G11" s="4"/>
      <c r="J11" s="5"/>
      <c r="K11" s="4"/>
      <c r="L11" s="4"/>
      <c r="M11" s="2" t="s">
        <v>52</v>
      </c>
      <c r="N11" s="4">
        <v>100</v>
      </c>
      <c r="O11" s="4"/>
      <c r="P11" s="2"/>
      <c r="Q11" s="4"/>
      <c r="R11" s="4"/>
      <c r="S11" s="5"/>
      <c r="T11">
        <v>160</v>
      </c>
    </row>
    <row r="12" spans="1:20" x14ac:dyDescent="0.5">
      <c r="A12" s="3"/>
      <c r="B12" s="2" t="s">
        <v>223</v>
      </c>
      <c r="C12" s="4">
        <v>1000</v>
      </c>
      <c r="D12" s="4"/>
      <c r="E12" s="2" t="s">
        <v>9</v>
      </c>
      <c r="F12" s="4">
        <v>300</v>
      </c>
      <c r="G12" s="4"/>
      <c r="J12" s="5"/>
      <c r="K12" s="4"/>
      <c r="L12" s="4"/>
      <c r="M12" s="2" t="s">
        <v>53</v>
      </c>
      <c r="N12" s="4">
        <v>13</v>
      </c>
      <c r="O12" s="4"/>
      <c r="P12" s="2"/>
      <c r="Q12" s="4"/>
      <c r="R12" s="4"/>
      <c r="S12" s="5"/>
    </row>
    <row r="13" spans="1:20" x14ac:dyDescent="0.5">
      <c r="A13" s="3"/>
      <c r="B13" s="2" t="s">
        <v>15</v>
      </c>
      <c r="C13" s="4">
        <f>(70*2)+100</f>
        <v>240</v>
      </c>
      <c r="D13" s="4"/>
      <c r="E13" s="2" t="s">
        <v>235</v>
      </c>
      <c r="F13" s="4">
        <f>95+52</f>
        <v>147</v>
      </c>
      <c r="G13" s="4"/>
      <c r="J13" s="5"/>
      <c r="K13" s="4"/>
      <c r="L13" s="4"/>
      <c r="M13" s="2" t="s">
        <v>54</v>
      </c>
      <c r="N13" s="4">
        <v>13</v>
      </c>
      <c r="O13" s="4"/>
      <c r="P13" s="2"/>
      <c r="Q13" s="4"/>
      <c r="R13" s="4"/>
      <c r="S13" s="5"/>
    </row>
    <row r="14" spans="1:20" x14ac:dyDescent="0.5">
      <c r="A14" s="3"/>
      <c r="B14" s="2" t="s">
        <v>226</v>
      </c>
      <c r="C14" s="4">
        <v>100</v>
      </c>
      <c r="D14" s="4"/>
      <c r="E14" s="2" t="s">
        <v>14</v>
      </c>
      <c r="F14" s="4">
        <v>13</v>
      </c>
      <c r="G14" s="4"/>
      <c r="J14" s="5"/>
      <c r="K14" s="4"/>
      <c r="L14" s="4"/>
      <c r="M14" s="2"/>
      <c r="N14" s="4"/>
      <c r="O14" s="4"/>
      <c r="P14" s="2"/>
      <c r="Q14" s="4"/>
      <c r="R14" s="4"/>
      <c r="S14" s="5"/>
      <c r="T14">
        <f>SUM(T8:T11)</f>
        <v>560</v>
      </c>
    </row>
    <row r="15" spans="1:20" x14ac:dyDescent="0.5">
      <c r="A15" s="3"/>
      <c r="B15" s="2" t="s">
        <v>227</v>
      </c>
      <c r="C15" s="4">
        <v>500</v>
      </c>
      <c r="D15" s="4"/>
      <c r="E15" s="2" t="s">
        <v>56</v>
      </c>
      <c r="F15" s="4">
        <v>100</v>
      </c>
      <c r="G15" s="4"/>
      <c r="H15" s="2"/>
      <c r="I15" s="4"/>
      <c r="J15" s="5"/>
      <c r="K15" s="4"/>
      <c r="L15" s="4"/>
      <c r="M15" s="2"/>
      <c r="N15" s="4"/>
      <c r="O15" s="4"/>
      <c r="P15" s="2"/>
      <c r="Q15" s="4"/>
      <c r="R15" s="4"/>
      <c r="S15" s="5"/>
    </row>
    <row r="16" spans="1:20" x14ac:dyDescent="0.5">
      <c r="A16" s="3"/>
      <c r="B16" s="2"/>
      <c r="C16" s="4"/>
      <c r="D16" s="4"/>
      <c r="E16" s="2" t="s">
        <v>222</v>
      </c>
      <c r="F16" s="4">
        <v>110</v>
      </c>
      <c r="G16" s="4"/>
      <c r="H16" s="4"/>
      <c r="I16" s="4"/>
      <c r="J16" s="5"/>
      <c r="K16" s="4"/>
      <c r="L16" s="4"/>
      <c r="M16" s="2"/>
      <c r="N16" s="4"/>
      <c r="O16" s="4"/>
      <c r="P16" s="4"/>
      <c r="Q16" s="4"/>
      <c r="R16" s="4"/>
      <c r="S16" s="5"/>
    </row>
    <row r="17" spans="1:19" x14ac:dyDescent="0.5">
      <c r="A17" s="3"/>
      <c r="B17" s="2"/>
      <c r="C17" s="4"/>
      <c r="D17" s="4"/>
      <c r="E17" s="2"/>
      <c r="F17" s="4"/>
      <c r="G17" s="4"/>
      <c r="H17" s="4"/>
      <c r="I17" s="4"/>
      <c r="J17" s="5"/>
      <c r="K17" s="4"/>
      <c r="L17" s="4"/>
      <c r="M17" s="2"/>
      <c r="N17" s="4"/>
      <c r="O17" s="4"/>
      <c r="P17" s="4"/>
      <c r="Q17" s="4"/>
      <c r="R17" s="4"/>
      <c r="S17" s="5"/>
    </row>
    <row r="18" spans="1:19" x14ac:dyDescent="0.5">
      <c r="A18" s="3"/>
      <c r="B18" s="4"/>
      <c r="C18" s="4"/>
      <c r="D18" s="4"/>
      <c r="E18" s="2"/>
      <c r="F18" s="4"/>
      <c r="G18" s="4"/>
      <c r="H18" s="4"/>
      <c r="I18" s="4"/>
      <c r="J18" s="5"/>
      <c r="K18" s="4"/>
      <c r="L18" s="4"/>
      <c r="M18" s="4"/>
      <c r="N18" s="4"/>
      <c r="O18" s="4"/>
      <c r="P18" s="4"/>
      <c r="Q18" s="4"/>
      <c r="R18" s="4"/>
      <c r="S18" s="5"/>
    </row>
    <row r="19" spans="1:19" x14ac:dyDescent="0.5">
      <c r="A19" s="3"/>
      <c r="B19" s="4"/>
      <c r="C19" s="4"/>
      <c r="D19" s="4"/>
      <c r="E19" s="4"/>
      <c r="F19" s="4"/>
      <c r="G19" s="4"/>
      <c r="H19" s="4"/>
      <c r="I19" s="4"/>
      <c r="J19" s="5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5">
      <c r="A20" s="3"/>
      <c r="B20" s="4"/>
      <c r="C20" s="4"/>
      <c r="D20" s="4"/>
      <c r="G20" s="4"/>
      <c r="H20" s="4"/>
      <c r="I20" s="4"/>
      <c r="J20" s="5"/>
      <c r="K20" s="4"/>
      <c r="L20" s="4"/>
      <c r="M20" s="4"/>
      <c r="N20" s="4"/>
      <c r="O20" s="4"/>
      <c r="P20" s="4"/>
      <c r="Q20" s="4"/>
      <c r="R20" s="4"/>
      <c r="S20" s="5"/>
    </row>
    <row r="21" spans="1:19" x14ac:dyDescent="0.5">
      <c r="A21" s="3"/>
      <c r="B21" s="7" t="s">
        <v>4</v>
      </c>
      <c r="C21" s="4">
        <f>SUM(C7:C18)</f>
        <v>2388</v>
      </c>
      <c r="D21" s="4"/>
      <c r="E21" s="4"/>
      <c r="F21" s="4">
        <f>SUM(F7:F19)+150</f>
        <v>3139</v>
      </c>
      <c r="G21" s="4"/>
      <c r="H21" s="4"/>
      <c r="I21" s="4">
        <f>SUM(I7:I18)</f>
        <v>0</v>
      </c>
      <c r="J21" s="5"/>
      <c r="K21" s="4"/>
      <c r="L21" s="4"/>
      <c r="M21" s="4"/>
      <c r="N21" s="4">
        <f>SUM(N7:N18)</f>
        <v>976</v>
      </c>
      <c r="O21" s="4"/>
      <c r="P21" s="4"/>
      <c r="Q21" s="4">
        <f>SUM(Q7:Q17)</f>
        <v>0</v>
      </c>
      <c r="R21" s="4"/>
      <c r="S21" s="5"/>
    </row>
    <row r="22" spans="1:19" x14ac:dyDescent="0.5">
      <c r="A22" s="3"/>
      <c r="B22" s="4"/>
      <c r="C22" s="4"/>
      <c r="D22" s="4"/>
      <c r="E22" s="4"/>
      <c r="F22" s="4"/>
      <c r="G22" s="4"/>
      <c r="H22" s="4"/>
      <c r="I22" s="4"/>
      <c r="J22" s="5"/>
      <c r="K22" s="4"/>
      <c r="L22" s="4"/>
      <c r="M22" s="4"/>
      <c r="N22" s="4"/>
      <c r="O22" s="4"/>
      <c r="P22" s="4"/>
      <c r="Q22" s="4"/>
      <c r="R22" s="4"/>
      <c r="S22" s="5"/>
    </row>
    <row r="23" spans="1:19" x14ac:dyDescent="0.5">
      <c r="A23" s="3"/>
      <c r="B23" s="4"/>
      <c r="C23" s="4"/>
      <c r="D23" s="4"/>
      <c r="E23" s="4"/>
      <c r="F23" s="4"/>
      <c r="G23" s="4"/>
      <c r="H23" s="4"/>
      <c r="I23" s="4"/>
      <c r="J23" s="5"/>
      <c r="K23" s="4"/>
      <c r="L23" s="4"/>
      <c r="M23" s="4"/>
      <c r="N23" s="4"/>
      <c r="O23" s="4"/>
      <c r="P23" s="4"/>
      <c r="Q23" s="4"/>
      <c r="R23" s="4"/>
      <c r="S23" s="5"/>
    </row>
    <row r="24" spans="1:19" x14ac:dyDescent="0.5">
      <c r="A24" s="3"/>
      <c r="B24" s="4"/>
      <c r="C24" s="4"/>
      <c r="D24" s="4"/>
      <c r="E24" s="4"/>
      <c r="F24" s="4"/>
      <c r="G24" s="4"/>
      <c r="H24" s="4"/>
      <c r="I24" s="4"/>
      <c r="J24" s="5"/>
      <c r="K24" s="4"/>
      <c r="L24" s="4"/>
      <c r="M24" s="4"/>
      <c r="N24" s="4"/>
      <c r="O24" s="4"/>
      <c r="P24" s="4"/>
      <c r="Q24" s="4"/>
      <c r="R24" s="4"/>
      <c r="S24" s="5"/>
    </row>
    <row r="25" spans="1:19" x14ac:dyDescent="0.5">
      <c r="A25" s="3"/>
      <c r="B25" s="4"/>
      <c r="C25" s="7" t="s">
        <v>8</v>
      </c>
      <c r="D25" s="4">
        <f>C21+F21+I21</f>
        <v>5527</v>
      </c>
      <c r="E25" s="4"/>
      <c r="F25" s="4"/>
      <c r="G25" s="4"/>
      <c r="H25" s="4"/>
      <c r="I25" s="4"/>
      <c r="J25" s="5"/>
      <c r="K25" s="7" t="s">
        <v>4</v>
      </c>
      <c r="L25" s="4"/>
      <c r="M25" s="4"/>
      <c r="N25" s="4"/>
      <c r="O25" s="4"/>
      <c r="P25" s="4">
        <f>N21+Q21</f>
        <v>976</v>
      </c>
      <c r="Q25" s="4"/>
      <c r="R25" s="4"/>
      <c r="S25" s="5"/>
    </row>
    <row r="26" spans="1:19" x14ac:dyDescent="0.5">
      <c r="A26" s="3"/>
      <c r="B26" s="4"/>
      <c r="C26" s="4"/>
      <c r="D26" s="4"/>
      <c r="E26" s="4"/>
      <c r="F26" s="4"/>
      <c r="G26" s="4"/>
      <c r="H26" s="4"/>
      <c r="I26" s="4"/>
      <c r="J26" s="5"/>
      <c r="K26" s="4"/>
      <c r="L26" s="4"/>
      <c r="M26" s="4"/>
      <c r="N26" s="4"/>
      <c r="O26" s="4"/>
      <c r="P26" s="4"/>
      <c r="Q26" s="4"/>
      <c r="R26" s="4"/>
      <c r="S26" s="5"/>
    </row>
    <row r="27" spans="1:19" x14ac:dyDescent="0.5">
      <c r="A27" s="3"/>
      <c r="B27" s="4"/>
      <c r="C27" s="4"/>
      <c r="D27" s="4"/>
      <c r="E27" s="4"/>
      <c r="F27" s="4"/>
      <c r="G27" s="4"/>
      <c r="H27" s="4"/>
      <c r="I27" s="4"/>
      <c r="J27" s="5"/>
      <c r="K27" s="4"/>
      <c r="L27" s="4"/>
      <c r="M27" s="4"/>
      <c r="N27" s="4"/>
      <c r="O27" s="4"/>
      <c r="P27" s="4"/>
      <c r="Q27" s="4"/>
      <c r="R27" s="4"/>
      <c r="S27" s="5"/>
    </row>
    <row r="28" spans="1:19" x14ac:dyDescent="0.5">
      <c r="A28" s="3"/>
      <c r="B28" s="7" t="s">
        <v>74</v>
      </c>
      <c r="C28" s="4">
        <f>ABS(G4-D25)</f>
        <v>5527</v>
      </c>
      <c r="D28" s="4"/>
      <c r="E28" s="4"/>
      <c r="F28" s="4"/>
      <c r="G28" s="4"/>
      <c r="H28" s="4"/>
      <c r="I28" s="4"/>
      <c r="J28" s="5"/>
      <c r="K28" s="7" t="s">
        <v>21</v>
      </c>
      <c r="L28" s="4">
        <f>O4-P25</f>
        <v>504</v>
      </c>
      <c r="M28" s="4"/>
      <c r="N28" s="4"/>
      <c r="O28" s="4"/>
      <c r="P28" s="4"/>
      <c r="Q28" s="4"/>
      <c r="R28" s="4"/>
      <c r="S28" s="5"/>
    </row>
    <row r="29" spans="1:19" x14ac:dyDescent="0.5">
      <c r="A29" s="3"/>
      <c r="B29" s="4"/>
      <c r="C29" s="4"/>
      <c r="D29" s="4"/>
      <c r="E29" s="4"/>
      <c r="F29" s="4"/>
      <c r="G29" s="4"/>
      <c r="H29" s="4"/>
      <c r="I29" s="4"/>
      <c r="J29" s="5"/>
      <c r="K29" s="4"/>
      <c r="L29" s="4"/>
      <c r="M29" s="4"/>
      <c r="N29" s="4"/>
      <c r="O29" s="4"/>
      <c r="P29" s="4"/>
      <c r="Q29" s="4"/>
      <c r="R29" s="4"/>
      <c r="S29" s="5"/>
    </row>
    <row r="30" spans="1:19" x14ac:dyDescent="0.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5">
      <c r="A33" s="2"/>
      <c r="B33" s="7" t="s">
        <v>25</v>
      </c>
      <c r="C33" s="4">
        <f>H4-D25</f>
        <v>973</v>
      </c>
      <c r="D33" s="4"/>
      <c r="E33" s="4"/>
      <c r="F33" s="4"/>
      <c r="G33" s="4"/>
      <c r="H33" s="4"/>
      <c r="I33" s="4"/>
      <c r="J33" s="4">
        <f>C28+L28</f>
        <v>6031</v>
      </c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5">
      <c r="A34" s="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x14ac:dyDescent="0.5">
      <c r="E35">
        <f>5.2+13.8+10.96+13+13+21+6.99+47+62+12+68+40</f>
        <v>312.95</v>
      </c>
    </row>
    <row r="38" spans="1:19" x14ac:dyDescent="0.5">
      <c r="I38" t="s">
        <v>208</v>
      </c>
      <c r="J38">
        <v>39</v>
      </c>
      <c r="L38" t="s">
        <v>214</v>
      </c>
      <c r="M38">
        <f>SUM(J38:J57)</f>
        <v>22002</v>
      </c>
    </row>
    <row r="39" spans="1:19" ht="16.5" x14ac:dyDescent="0.6">
      <c r="E39" s="13" t="s">
        <v>196</v>
      </c>
      <c r="F39">
        <v>500</v>
      </c>
      <c r="I39" t="s">
        <v>209</v>
      </c>
      <c r="J39">
        <v>100</v>
      </c>
    </row>
    <row r="40" spans="1:19" ht="16.5" x14ac:dyDescent="0.6">
      <c r="E40" s="13" t="s">
        <v>197</v>
      </c>
      <c r="F40">
        <v>800</v>
      </c>
      <c r="I40" t="s">
        <v>210</v>
      </c>
      <c r="J40">
        <v>21</v>
      </c>
    </row>
    <row r="41" spans="1:19" ht="16.5" x14ac:dyDescent="0.6">
      <c r="E41" s="13" t="s">
        <v>198</v>
      </c>
      <c r="F41">
        <v>200</v>
      </c>
      <c r="I41" t="s">
        <v>211</v>
      </c>
      <c r="J41">
        <v>20</v>
      </c>
    </row>
    <row r="42" spans="1:19" ht="16.5" x14ac:dyDescent="0.6">
      <c r="E42" s="13" t="s">
        <v>199</v>
      </c>
      <c r="F42">
        <v>2000</v>
      </c>
      <c r="I42" t="s">
        <v>212</v>
      </c>
      <c r="J42">
        <v>20</v>
      </c>
    </row>
    <row r="43" spans="1:19" ht="16.5" x14ac:dyDescent="0.6">
      <c r="E43" s="13" t="s">
        <v>205</v>
      </c>
      <c r="F43">
        <v>500</v>
      </c>
      <c r="I43" t="s">
        <v>212</v>
      </c>
      <c r="J43">
        <v>27</v>
      </c>
    </row>
    <row r="44" spans="1:19" ht="16.5" x14ac:dyDescent="0.6">
      <c r="E44" s="13" t="s">
        <v>200</v>
      </c>
      <c r="F44">
        <v>100</v>
      </c>
      <c r="I44" t="s">
        <v>213</v>
      </c>
      <c r="J44">
        <v>67</v>
      </c>
    </row>
    <row r="45" spans="1:19" ht="16.5" x14ac:dyDescent="0.6">
      <c r="E45" s="13" t="s">
        <v>201</v>
      </c>
      <c r="F45">
        <v>67</v>
      </c>
      <c r="I45" t="s">
        <v>22</v>
      </c>
      <c r="J45">
        <v>28</v>
      </c>
    </row>
    <row r="46" spans="1:19" ht="16.5" x14ac:dyDescent="0.6">
      <c r="E46" s="13" t="s">
        <v>202</v>
      </c>
      <c r="F46">
        <v>50</v>
      </c>
      <c r="I46" t="s">
        <v>215</v>
      </c>
      <c r="J46">
        <v>31</v>
      </c>
    </row>
    <row r="47" spans="1:19" ht="16.5" x14ac:dyDescent="0.6">
      <c r="E47" s="13" t="s">
        <v>203</v>
      </c>
      <c r="F47">
        <v>70</v>
      </c>
      <c r="I47" t="s">
        <v>216</v>
      </c>
      <c r="J47">
        <v>32</v>
      </c>
    </row>
    <row r="48" spans="1:19" ht="16.5" x14ac:dyDescent="0.6">
      <c r="E48" s="13" t="s">
        <v>204</v>
      </c>
      <c r="F48">
        <v>300</v>
      </c>
      <c r="I48" t="s">
        <v>217</v>
      </c>
      <c r="J48">
        <v>46</v>
      </c>
    </row>
    <row r="49" spans="2:10" ht="16.5" x14ac:dyDescent="0.6">
      <c r="E49" s="13" t="s">
        <v>206</v>
      </c>
      <c r="F49">
        <v>100</v>
      </c>
      <c r="I49" t="s">
        <v>24</v>
      </c>
      <c r="J49">
        <v>20914</v>
      </c>
    </row>
    <row r="50" spans="2:10" x14ac:dyDescent="0.5">
      <c r="I50" t="s">
        <v>219</v>
      </c>
      <c r="J50">
        <v>357</v>
      </c>
    </row>
    <row r="51" spans="2:10" x14ac:dyDescent="0.5">
      <c r="J51">
        <v>300</v>
      </c>
    </row>
    <row r="53" spans="2:10" x14ac:dyDescent="0.5">
      <c r="F53">
        <f>SUM(F39:F49)</f>
        <v>4687</v>
      </c>
    </row>
    <row r="61" spans="2:10" x14ac:dyDescent="0.5">
      <c r="B61" s="7" t="s">
        <v>2</v>
      </c>
      <c r="C61" s="4">
        <v>1900</v>
      </c>
    </row>
    <row r="97" spans="2:16" x14ac:dyDescent="0.5">
      <c r="B97">
        <v>3000</v>
      </c>
    </row>
    <row r="98" spans="2:16" x14ac:dyDescent="0.5">
      <c r="B98">
        <v>2500</v>
      </c>
      <c r="J98">
        <v>3000</v>
      </c>
    </row>
    <row r="99" spans="2:16" x14ac:dyDescent="0.5">
      <c r="B99">
        <v>2500</v>
      </c>
      <c r="J99">
        <v>600</v>
      </c>
    </row>
    <row r="100" spans="2:16" x14ac:dyDescent="0.5">
      <c r="B100">
        <v>800</v>
      </c>
    </row>
    <row r="101" spans="2:16" x14ac:dyDescent="0.5">
      <c r="B101">
        <v>700</v>
      </c>
    </row>
    <row r="105" spans="2:16" x14ac:dyDescent="0.5">
      <c r="B105">
        <f>SUM(B97:B101)</f>
        <v>9500</v>
      </c>
      <c r="D105">
        <f>B105-7000</f>
        <v>2500</v>
      </c>
    </row>
    <row r="106" spans="2:16" x14ac:dyDescent="0.5">
      <c r="P106">
        <v>126</v>
      </c>
    </row>
    <row r="107" spans="2:16" x14ac:dyDescent="0.5">
      <c r="P107" s="4">
        <v>12</v>
      </c>
    </row>
    <row r="108" spans="2:16" x14ac:dyDescent="0.5">
      <c r="P108" s="4">
        <v>10</v>
      </c>
    </row>
    <row r="109" spans="2:16" x14ac:dyDescent="0.5">
      <c r="P109" s="4">
        <v>20</v>
      </c>
    </row>
    <row r="110" spans="2:16" x14ac:dyDescent="0.5">
      <c r="P110" s="4">
        <v>20</v>
      </c>
    </row>
    <row r="111" spans="2:16" x14ac:dyDescent="0.5">
      <c r="P111" s="4">
        <v>20</v>
      </c>
    </row>
    <row r="112" spans="2:16" x14ac:dyDescent="0.5">
      <c r="P112" s="4">
        <v>3.99</v>
      </c>
    </row>
    <row r="113" spans="5:16" x14ac:dyDescent="0.5">
      <c r="P113" s="4">
        <v>100</v>
      </c>
    </row>
    <row r="114" spans="5:16" x14ac:dyDescent="0.5">
      <c r="E114">
        <v>1400</v>
      </c>
      <c r="P114" s="4">
        <v>75</v>
      </c>
    </row>
    <row r="115" spans="5:16" x14ac:dyDescent="0.5">
      <c r="E115">
        <v>1300</v>
      </c>
      <c r="P115" s="4">
        <v>60</v>
      </c>
    </row>
    <row r="116" spans="5:16" x14ac:dyDescent="0.5">
      <c r="E116">
        <v>950</v>
      </c>
      <c r="P116" s="4"/>
    </row>
    <row r="117" spans="5:16" x14ac:dyDescent="0.5">
      <c r="P117" s="4">
        <v>70</v>
      </c>
    </row>
    <row r="120" spans="5:16" x14ac:dyDescent="0.5">
      <c r="E120">
        <f>SUM(E114:E118)</f>
        <v>3650</v>
      </c>
    </row>
    <row r="124" spans="5:16" x14ac:dyDescent="0.5">
      <c r="P124">
        <f>SUM(P104:P121)</f>
        <v>516.99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7C8C7-3406-4E54-ADE1-2B167EC852B1}">
  <sheetPr codeName="Feuil14"/>
  <dimension ref="A1:T124"/>
  <sheetViews>
    <sheetView topLeftCell="A22" workbookViewId="0">
      <selection activeCell="E23" sqref="E23"/>
    </sheetView>
  </sheetViews>
  <sheetFormatPr baseColWidth="10" defaultRowHeight="15.75" x14ac:dyDescent="0.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0" x14ac:dyDescent="0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x14ac:dyDescent="0.5">
      <c r="A3" s="3"/>
      <c r="B3" s="2"/>
      <c r="C3" s="4"/>
      <c r="D3" s="4"/>
      <c r="E3" s="4"/>
      <c r="F3" s="4"/>
      <c r="G3" s="4"/>
      <c r="H3" s="4" t="s">
        <v>59</v>
      </c>
      <c r="I3" s="4" t="s">
        <v>60</v>
      </c>
      <c r="J3" s="5"/>
      <c r="K3" s="4"/>
      <c r="L3" s="4"/>
      <c r="M3" s="4"/>
      <c r="N3" s="4"/>
      <c r="O3" s="4"/>
      <c r="P3" s="4"/>
      <c r="Q3" s="4"/>
      <c r="R3" s="4"/>
      <c r="S3" s="5"/>
    </row>
    <row r="4" spans="1:20" x14ac:dyDescent="0.5">
      <c r="A4" s="3"/>
      <c r="B4" s="2"/>
      <c r="C4" s="4"/>
      <c r="D4" s="4"/>
      <c r="E4" s="6" t="s">
        <v>19</v>
      </c>
      <c r="F4" s="7" t="s">
        <v>5</v>
      </c>
      <c r="G4" s="4"/>
      <c r="H4" s="4">
        <v>10100</v>
      </c>
      <c r="I4" s="4"/>
      <c r="J4" s="5"/>
      <c r="K4" s="4"/>
      <c r="L4" s="4"/>
      <c r="M4" s="6" t="s">
        <v>20</v>
      </c>
      <c r="N4" s="7" t="s">
        <v>5</v>
      </c>
      <c r="O4" s="4">
        <v>1480</v>
      </c>
      <c r="P4" s="4"/>
      <c r="Q4" s="4"/>
      <c r="R4" s="4"/>
      <c r="S4" s="5"/>
    </row>
    <row r="5" spans="1:20" x14ac:dyDescent="0.5">
      <c r="A5" s="3"/>
      <c r="B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5"/>
    </row>
    <row r="6" spans="1:20" x14ac:dyDescent="0.5">
      <c r="A6" s="3"/>
      <c r="B6" s="2"/>
      <c r="C6" s="7" t="s">
        <v>16</v>
      </c>
      <c r="D6" s="8"/>
      <c r="E6" s="7" t="s">
        <v>17</v>
      </c>
      <c r="F6" s="8"/>
      <c r="G6" s="7"/>
      <c r="H6" s="7" t="s">
        <v>18</v>
      </c>
      <c r="I6" s="7"/>
      <c r="J6" s="5"/>
      <c r="K6" s="7" t="s">
        <v>16</v>
      </c>
      <c r="L6" s="8"/>
      <c r="M6" s="7" t="s">
        <v>17</v>
      </c>
      <c r="N6" s="8"/>
      <c r="O6" s="7"/>
      <c r="P6" s="7" t="s">
        <v>18</v>
      </c>
      <c r="Q6" s="7"/>
      <c r="R6" s="4"/>
      <c r="S6" s="5"/>
    </row>
    <row r="7" spans="1:20" x14ac:dyDescent="0.5">
      <c r="A7" s="3"/>
      <c r="B7" s="2" t="s">
        <v>46</v>
      </c>
      <c r="C7" s="4"/>
      <c r="D7" s="4"/>
      <c r="E7" s="2" t="s">
        <v>0</v>
      </c>
      <c r="F7" s="4">
        <v>1012</v>
      </c>
      <c r="G7" s="4"/>
      <c r="H7" s="2"/>
      <c r="I7" s="4"/>
      <c r="J7" s="5"/>
      <c r="K7" s="4"/>
      <c r="L7" s="4"/>
      <c r="M7" s="2" t="s">
        <v>26</v>
      </c>
      <c r="N7" s="4">
        <v>150</v>
      </c>
      <c r="O7" s="4"/>
      <c r="P7" s="2"/>
      <c r="Q7" s="4"/>
      <c r="R7" s="4"/>
      <c r="S7" s="5"/>
    </row>
    <row r="8" spans="1:20" x14ac:dyDescent="0.5">
      <c r="A8" s="3"/>
      <c r="B8" s="2"/>
      <c r="C8" s="4" t="s">
        <v>63</v>
      </c>
      <c r="D8" s="4"/>
      <c r="E8" s="2" t="s">
        <v>220</v>
      </c>
      <c r="F8" s="4">
        <v>1000</v>
      </c>
      <c r="G8" s="4"/>
      <c r="H8" s="2"/>
      <c r="I8" s="4"/>
      <c r="J8" s="5"/>
      <c r="K8" s="4"/>
      <c r="L8" s="4"/>
      <c r="M8" s="2" t="s">
        <v>49</v>
      </c>
      <c r="N8" s="4">
        <v>200</v>
      </c>
      <c r="O8" s="4"/>
      <c r="P8" s="2"/>
      <c r="Q8" s="4"/>
      <c r="R8" s="4"/>
      <c r="S8" s="5"/>
      <c r="T8">
        <v>50</v>
      </c>
    </row>
    <row r="9" spans="1:20" x14ac:dyDescent="0.5">
      <c r="A9" s="3"/>
      <c r="B9" s="2" t="s">
        <v>15</v>
      </c>
      <c r="C9" s="4">
        <f>200+(70*2)</f>
        <v>340</v>
      </c>
      <c r="D9" s="4"/>
      <c r="E9" s="2" t="s">
        <v>235</v>
      </c>
      <c r="F9" s="4">
        <v>96</v>
      </c>
      <c r="G9" s="4"/>
      <c r="H9" s="2"/>
      <c r="I9" s="4"/>
      <c r="J9" s="5"/>
      <c r="K9" s="4"/>
      <c r="L9" s="4"/>
      <c r="M9" s="2" t="s">
        <v>50</v>
      </c>
      <c r="N9" s="4">
        <v>200</v>
      </c>
      <c r="O9" s="4"/>
      <c r="P9" s="2"/>
      <c r="Q9" s="4"/>
      <c r="R9" s="4"/>
      <c r="S9" s="5"/>
      <c r="T9">
        <v>200</v>
      </c>
    </row>
    <row r="10" spans="1:20" x14ac:dyDescent="0.5">
      <c r="A10" s="3"/>
      <c r="B10" s="2" t="s">
        <v>221</v>
      </c>
      <c r="C10" s="4">
        <f>150+175</f>
        <v>325</v>
      </c>
      <c r="D10" s="4"/>
      <c r="E10" s="2" t="s">
        <v>187</v>
      </c>
      <c r="F10" s="4">
        <v>50</v>
      </c>
      <c r="G10" s="4"/>
      <c r="H10" s="2"/>
      <c r="I10" s="4"/>
      <c r="J10" s="5"/>
      <c r="K10" s="4"/>
      <c r="L10" s="4"/>
      <c r="M10" s="2" t="s">
        <v>51</v>
      </c>
      <c r="N10" s="4">
        <v>300</v>
      </c>
      <c r="O10" s="4"/>
      <c r="P10" s="2"/>
      <c r="Q10" s="4"/>
      <c r="R10" s="4"/>
      <c r="S10" s="5"/>
      <c r="T10">
        <v>150</v>
      </c>
    </row>
    <row r="11" spans="1:20" x14ac:dyDescent="0.5">
      <c r="A11" s="3"/>
      <c r="B11" s="2" t="s">
        <v>195</v>
      </c>
      <c r="C11" s="4">
        <v>198</v>
      </c>
      <c r="D11" s="4"/>
      <c r="E11" s="2" t="s">
        <v>1</v>
      </c>
      <c r="F11" s="4">
        <v>157</v>
      </c>
      <c r="G11" s="4"/>
      <c r="J11" s="5"/>
      <c r="K11" s="4"/>
      <c r="L11" s="4"/>
      <c r="M11" s="2" t="s">
        <v>52</v>
      </c>
      <c r="N11" s="4">
        <v>100</v>
      </c>
      <c r="O11" s="4"/>
      <c r="P11" s="2"/>
      <c r="Q11" s="4"/>
      <c r="R11" s="4"/>
      <c r="S11" s="5"/>
      <c r="T11">
        <v>160</v>
      </c>
    </row>
    <row r="12" spans="1:20" x14ac:dyDescent="0.5">
      <c r="A12" s="3"/>
      <c r="B12" s="2" t="s">
        <v>223</v>
      </c>
      <c r="C12" s="4">
        <v>1000</v>
      </c>
      <c r="D12" s="4"/>
      <c r="E12" s="2" t="s">
        <v>9</v>
      </c>
      <c r="F12" s="4">
        <v>300</v>
      </c>
      <c r="G12" s="4"/>
      <c r="J12" s="5"/>
      <c r="K12" s="4"/>
      <c r="L12" s="4"/>
      <c r="M12" s="2" t="s">
        <v>53</v>
      </c>
      <c r="N12" s="4">
        <v>13</v>
      </c>
      <c r="O12" s="4"/>
      <c r="P12" s="2"/>
      <c r="Q12" s="4"/>
      <c r="R12" s="4"/>
      <c r="S12" s="5"/>
    </row>
    <row r="13" spans="1:20" x14ac:dyDescent="0.5">
      <c r="A13" s="3"/>
      <c r="B13" s="2" t="s">
        <v>155</v>
      </c>
      <c r="C13" s="4">
        <v>500</v>
      </c>
      <c r="D13" s="4"/>
      <c r="E13" s="2" t="s">
        <v>235</v>
      </c>
      <c r="F13" s="4">
        <v>52</v>
      </c>
      <c r="G13" s="4"/>
      <c r="J13" s="5"/>
      <c r="K13" s="4"/>
      <c r="L13" s="4"/>
      <c r="M13" s="2" t="s">
        <v>54</v>
      </c>
      <c r="N13" s="4">
        <v>13</v>
      </c>
      <c r="O13" s="4"/>
      <c r="P13" s="2"/>
      <c r="Q13" s="4"/>
      <c r="R13" s="4"/>
      <c r="S13" s="5"/>
    </row>
    <row r="14" spans="1:20" x14ac:dyDescent="0.5">
      <c r="A14" s="3"/>
      <c r="B14" s="2" t="s">
        <v>155</v>
      </c>
      <c r="C14" s="4">
        <v>500</v>
      </c>
      <c r="D14" s="4"/>
      <c r="E14" s="2" t="s">
        <v>14</v>
      </c>
      <c r="F14" s="4">
        <v>13</v>
      </c>
      <c r="G14" s="4"/>
      <c r="J14" s="5"/>
      <c r="K14" s="4"/>
      <c r="L14" s="4"/>
      <c r="M14" s="2"/>
      <c r="N14" s="4"/>
      <c r="O14" s="4"/>
      <c r="P14" s="2"/>
      <c r="Q14" s="4"/>
      <c r="R14" s="4"/>
      <c r="S14" s="5"/>
      <c r="T14">
        <f>SUM(T8:T11)</f>
        <v>560</v>
      </c>
    </row>
    <row r="15" spans="1:20" x14ac:dyDescent="0.5">
      <c r="A15" s="3"/>
      <c r="B15" s="2"/>
      <c r="C15" s="4"/>
      <c r="D15" s="4"/>
      <c r="E15" s="2" t="s">
        <v>56</v>
      </c>
      <c r="F15" s="4">
        <v>100</v>
      </c>
      <c r="G15" s="4"/>
      <c r="H15" s="2"/>
      <c r="I15" s="4"/>
      <c r="J15" s="5"/>
      <c r="K15" s="4"/>
      <c r="L15" s="4"/>
      <c r="M15" s="2"/>
      <c r="N15" s="4"/>
      <c r="O15" s="4"/>
      <c r="P15" s="2"/>
      <c r="Q15" s="4"/>
      <c r="R15" s="4"/>
      <c r="S15" s="5"/>
    </row>
    <row r="16" spans="1:20" x14ac:dyDescent="0.5">
      <c r="A16" s="3"/>
      <c r="B16" s="2"/>
      <c r="C16" s="4"/>
      <c r="D16" s="4"/>
      <c r="E16" s="2" t="s">
        <v>222</v>
      </c>
      <c r="F16" s="4">
        <v>110</v>
      </c>
      <c r="G16" s="4"/>
      <c r="H16" s="4"/>
      <c r="I16" s="4"/>
      <c r="J16" s="5"/>
      <c r="K16" s="4"/>
      <c r="L16" s="4"/>
      <c r="M16" s="2"/>
      <c r="N16" s="4"/>
      <c r="O16" s="4"/>
      <c r="P16" s="4"/>
      <c r="Q16" s="4"/>
      <c r="R16" s="4"/>
      <c r="S16" s="5"/>
    </row>
    <row r="17" spans="1:19" x14ac:dyDescent="0.5">
      <c r="A17" s="3"/>
      <c r="B17" s="2"/>
      <c r="C17" s="4"/>
      <c r="D17" s="4"/>
      <c r="E17" s="2"/>
      <c r="F17" s="4"/>
      <c r="G17" s="4"/>
      <c r="H17" s="4"/>
      <c r="I17" s="4"/>
      <c r="J17" s="5"/>
      <c r="K17" s="4"/>
      <c r="L17" s="4"/>
      <c r="M17" s="2"/>
      <c r="N17" s="4"/>
      <c r="O17" s="4"/>
      <c r="P17" s="4"/>
      <c r="Q17" s="4"/>
      <c r="R17" s="4"/>
      <c r="S17" s="5"/>
    </row>
    <row r="18" spans="1:19" x14ac:dyDescent="0.5">
      <c r="A18" s="3"/>
      <c r="B18" s="4"/>
      <c r="C18" s="4"/>
      <c r="D18" s="4"/>
      <c r="E18" s="2"/>
      <c r="F18" s="4"/>
      <c r="G18" s="4"/>
      <c r="H18" s="4"/>
      <c r="I18" s="4"/>
      <c r="J18" s="5"/>
      <c r="K18" s="4"/>
      <c r="L18" s="4"/>
      <c r="M18" s="4"/>
      <c r="N18" s="4"/>
      <c r="O18" s="4"/>
      <c r="P18" s="4"/>
      <c r="Q18" s="4"/>
      <c r="R18" s="4"/>
      <c r="S18" s="5"/>
    </row>
    <row r="19" spans="1:19" x14ac:dyDescent="0.5">
      <c r="A19" s="3"/>
      <c r="B19" s="4"/>
      <c r="C19" s="4"/>
      <c r="D19" s="4"/>
      <c r="E19" s="4"/>
      <c r="F19" s="4"/>
      <c r="G19" s="4"/>
      <c r="H19" s="4"/>
      <c r="I19" s="4"/>
      <c r="J19" s="5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5">
      <c r="A20" s="3"/>
      <c r="B20" s="4"/>
      <c r="C20" s="4"/>
      <c r="D20" s="4"/>
      <c r="G20" s="4"/>
      <c r="H20" s="4"/>
      <c r="I20" s="4"/>
      <c r="J20" s="5"/>
      <c r="K20" s="4"/>
      <c r="L20" s="4"/>
      <c r="M20" s="4"/>
      <c r="N20" s="4"/>
      <c r="O20" s="4"/>
      <c r="P20" s="4"/>
      <c r="Q20" s="4"/>
      <c r="R20" s="4"/>
      <c r="S20" s="5"/>
    </row>
    <row r="21" spans="1:19" x14ac:dyDescent="0.5">
      <c r="A21" s="3"/>
      <c r="B21" s="7" t="s">
        <v>4</v>
      </c>
      <c r="C21" s="4">
        <f>SUM(C7:C18)</f>
        <v>2863</v>
      </c>
      <c r="D21" s="4"/>
      <c r="E21" s="4"/>
      <c r="F21" s="4">
        <f>SUM(F7:F19)+150</f>
        <v>3040</v>
      </c>
      <c r="G21" s="4"/>
      <c r="H21" s="4"/>
      <c r="I21" s="4">
        <f>SUM(I7:I18)</f>
        <v>0</v>
      </c>
      <c r="J21" s="5"/>
      <c r="K21" s="4"/>
      <c r="L21" s="4"/>
      <c r="M21" s="4"/>
      <c r="N21" s="4">
        <f>SUM(N7:N18)</f>
        <v>976</v>
      </c>
      <c r="O21" s="4"/>
      <c r="P21" s="4"/>
      <c r="Q21" s="4">
        <f>SUM(Q7:Q17)</f>
        <v>0</v>
      </c>
      <c r="R21" s="4"/>
      <c r="S21" s="5"/>
    </row>
    <row r="22" spans="1:19" x14ac:dyDescent="0.5">
      <c r="A22" s="3"/>
      <c r="B22" s="4"/>
      <c r="C22" s="4"/>
      <c r="D22" s="4"/>
      <c r="E22" s="4"/>
      <c r="F22" s="4"/>
      <c r="G22" s="4"/>
      <c r="H22" s="4"/>
      <c r="I22" s="4"/>
      <c r="J22" s="5"/>
      <c r="K22" s="4"/>
      <c r="L22" s="4"/>
      <c r="M22" s="4"/>
      <c r="N22" s="4"/>
      <c r="O22" s="4"/>
      <c r="P22" s="4"/>
      <c r="Q22" s="4"/>
      <c r="R22" s="4"/>
      <c r="S22" s="5"/>
    </row>
    <row r="23" spans="1:19" x14ac:dyDescent="0.5">
      <c r="A23" s="3"/>
      <c r="B23" s="4"/>
      <c r="C23" s="4"/>
      <c r="D23" s="4"/>
      <c r="E23" s="4"/>
      <c r="F23" s="4"/>
      <c r="G23" s="4"/>
      <c r="H23" s="4"/>
      <c r="I23" s="4"/>
      <c r="J23" s="5"/>
      <c r="K23" s="4"/>
      <c r="L23" s="4"/>
      <c r="M23" s="4"/>
      <c r="N23" s="4"/>
      <c r="O23" s="4"/>
      <c r="P23" s="4"/>
      <c r="Q23" s="4"/>
      <c r="R23" s="4"/>
      <c r="S23" s="5"/>
    </row>
    <row r="24" spans="1:19" x14ac:dyDescent="0.5">
      <c r="A24" s="3"/>
      <c r="B24" s="4"/>
      <c r="C24" s="4"/>
      <c r="D24" s="4"/>
      <c r="E24" s="4"/>
      <c r="F24" s="4"/>
      <c r="G24" s="4"/>
      <c r="H24" s="4"/>
      <c r="I24" s="4"/>
      <c r="J24" s="5"/>
      <c r="K24" s="4"/>
      <c r="L24" s="4"/>
      <c r="M24" s="4"/>
      <c r="N24" s="4"/>
      <c r="O24" s="4"/>
      <c r="P24" s="4"/>
      <c r="Q24" s="4"/>
      <c r="R24" s="4"/>
      <c r="S24" s="5"/>
    </row>
    <row r="25" spans="1:19" x14ac:dyDescent="0.5">
      <c r="A25" s="3"/>
      <c r="B25" s="4"/>
      <c r="C25" s="7" t="s">
        <v>8</v>
      </c>
      <c r="D25" s="4">
        <f>C21+F21+I21</f>
        <v>5903</v>
      </c>
      <c r="E25" s="4"/>
      <c r="F25" s="4"/>
      <c r="G25" s="4"/>
      <c r="H25" s="4"/>
      <c r="I25" s="4"/>
      <c r="J25" s="5"/>
      <c r="K25" s="7" t="s">
        <v>4</v>
      </c>
      <c r="L25" s="4"/>
      <c r="M25" s="4"/>
      <c r="N25" s="4"/>
      <c r="O25" s="4"/>
      <c r="P25" s="4">
        <f>N21+Q21</f>
        <v>976</v>
      </c>
      <c r="Q25" s="4"/>
      <c r="R25" s="4"/>
      <c r="S25" s="5"/>
    </row>
    <row r="26" spans="1:19" x14ac:dyDescent="0.5">
      <c r="A26" s="3"/>
      <c r="B26" s="4"/>
      <c r="C26" s="4"/>
      <c r="D26" s="4"/>
      <c r="E26" s="4"/>
      <c r="F26" s="4"/>
      <c r="G26" s="4"/>
      <c r="H26" s="4"/>
      <c r="I26" s="4"/>
      <c r="J26" s="5"/>
      <c r="K26" s="4"/>
      <c r="L26" s="4"/>
      <c r="M26" s="4"/>
      <c r="N26" s="4"/>
      <c r="O26" s="4"/>
      <c r="P26" s="4"/>
      <c r="Q26" s="4"/>
      <c r="R26" s="4"/>
      <c r="S26" s="5"/>
    </row>
    <row r="27" spans="1:19" x14ac:dyDescent="0.5">
      <c r="A27" s="3"/>
      <c r="B27" s="4"/>
      <c r="C27" s="4"/>
      <c r="D27" s="4"/>
      <c r="E27" s="4"/>
      <c r="F27" s="4"/>
      <c r="G27" s="4"/>
      <c r="H27" s="4"/>
      <c r="I27" s="4"/>
      <c r="J27" s="5"/>
      <c r="K27" s="4"/>
      <c r="L27" s="4"/>
      <c r="M27" s="4"/>
      <c r="N27" s="4"/>
      <c r="O27" s="4"/>
      <c r="P27" s="4"/>
      <c r="Q27" s="4"/>
      <c r="R27" s="4"/>
      <c r="S27" s="5"/>
    </row>
    <row r="28" spans="1:19" x14ac:dyDescent="0.5">
      <c r="A28" s="3"/>
      <c r="B28" s="7" t="s">
        <v>74</v>
      </c>
      <c r="C28" s="4">
        <f>ABS(G4-D25)</f>
        <v>5903</v>
      </c>
      <c r="D28" s="4"/>
      <c r="E28" s="4"/>
      <c r="F28" s="4"/>
      <c r="G28" s="4"/>
      <c r="H28" s="4"/>
      <c r="I28" s="4"/>
      <c r="J28" s="5"/>
      <c r="K28" s="7" t="s">
        <v>21</v>
      </c>
      <c r="L28" s="4">
        <f>O4-P25</f>
        <v>504</v>
      </c>
      <c r="M28" s="4"/>
      <c r="N28" s="4"/>
      <c r="O28" s="4"/>
      <c r="P28" s="4"/>
      <c r="Q28" s="4"/>
      <c r="R28" s="4"/>
      <c r="S28" s="5"/>
    </row>
    <row r="29" spans="1:19" x14ac:dyDescent="0.5">
      <c r="A29" s="3"/>
      <c r="B29" s="4"/>
      <c r="C29" s="4"/>
      <c r="D29" s="4"/>
      <c r="E29" s="4"/>
      <c r="F29" s="4"/>
      <c r="G29" s="4"/>
      <c r="H29" s="4"/>
      <c r="I29" s="4"/>
      <c r="J29" s="5"/>
      <c r="K29" s="4"/>
      <c r="L29" s="4"/>
      <c r="M29" s="4"/>
      <c r="N29" s="4"/>
      <c r="O29" s="4"/>
      <c r="P29" s="4"/>
      <c r="Q29" s="4"/>
      <c r="R29" s="4"/>
      <c r="S29" s="5"/>
    </row>
    <row r="30" spans="1:19" x14ac:dyDescent="0.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5">
      <c r="A33" s="2"/>
      <c r="B33" s="7" t="s">
        <v>25</v>
      </c>
      <c r="C33" s="4">
        <f>H4-D25</f>
        <v>4197</v>
      </c>
      <c r="D33" s="4"/>
      <c r="E33" s="4"/>
      <c r="F33" s="4"/>
      <c r="G33" s="4"/>
      <c r="H33" s="4"/>
      <c r="I33" s="4"/>
      <c r="J33" s="4">
        <f>C28+L28</f>
        <v>6407</v>
      </c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5">
      <c r="A34" s="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x14ac:dyDescent="0.5">
      <c r="E35">
        <f>5.2+13.8+10.96+13+13+21+6.99+47+62+12+68+40</f>
        <v>312.95</v>
      </c>
    </row>
    <row r="38" spans="1:19" x14ac:dyDescent="0.5">
      <c r="I38" t="s">
        <v>208</v>
      </c>
      <c r="J38">
        <v>39</v>
      </c>
      <c r="L38" t="s">
        <v>214</v>
      </c>
      <c r="M38">
        <f>SUM(J38:J57)</f>
        <v>22002</v>
      </c>
    </row>
    <row r="39" spans="1:19" ht="16.5" x14ac:dyDescent="0.6">
      <c r="E39" s="13" t="s">
        <v>196</v>
      </c>
      <c r="F39">
        <v>500</v>
      </c>
      <c r="I39" t="s">
        <v>209</v>
      </c>
      <c r="J39">
        <v>100</v>
      </c>
    </row>
    <row r="40" spans="1:19" ht="16.5" x14ac:dyDescent="0.6">
      <c r="E40" s="13" t="s">
        <v>197</v>
      </c>
      <c r="F40">
        <v>800</v>
      </c>
      <c r="I40" t="s">
        <v>210</v>
      </c>
      <c r="J40">
        <v>21</v>
      </c>
    </row>
    <row r="41" spans="1:19" ht="16.5" x14ac:dyDescent="0.6">
      <c r="E41" s="13" t="s">
        <v>198</v>
      </c>
      <c r="F41">
        <v>200</v>
      </c>
      <c r="I41" t="s">
        <v>211</v>
      </c>
      <c r="J41">
        <v>20</v>
      </c>
    </row>
    <row r="42" spans="1:19" ht="16.5" x14ac:dyDescent="0.6">
      <c r="E42" s="13" t="s">
        <v>199</v>
      </c>
      <c r="F42">
        <v>2000</v>
      </c>
      <c r="I42" t="s">
        <v>212</v>
      </c>
      <c r="J42">
        <v>20</v>
      </c>
    </row>
    <row r="43" spans="1:19" ht="16.5" x14ac:dyDescent="0.6">
      <c r="E43" s="13" t="s">
        <v>205</v>
      </c>
      <c r="F43">
        <v>500</v>
      </c>
      <c r="I43" t="s">
        <v>212</v>
      </c>
      <c r="J43">
        <v>27</v>
      </c>
    </row>
    <row r="44" spans="1:19" ht="16.5" x14ac:dyDescent="0.6">
      <c r="E44" s="13" t="s">
        <v>200</v>
      </c>
      <c r="F44">
        <v>100</v>
      </c>
      <c r="I44" t="s">
        <v>213</v>
      </c>
      <c r="J44">
        <v>67</v>
      </c>
    </row>
    <row r="45" spans="1:19" ht="16.5" x14ac:dyDescent="0.6">
      <c r="E45" s="13" t="s">
        <v>201</v>
      </c>
      <c r="F45">
        <v>67</v>
      </c>
      <c r="I45" t="s">
        <v>22</v>
      </c>
      <c r="J45">
        <v>28</v>
      </c>
    </row>
    <row r="46" spans="1:19" ht="16.5" x14ac:dyDescent="0.6">
      <c r="E46" s="13" t="s">
        <v>202</v>
      </c>
      <c r="F46">
        <v>50</v>
      </c>
      <c r="I46" t="s">
        <v>215</v>
      </c>
      <c r="J46">
        <v>31</v>
      </c>
    </row>
    <row r="47" spans="1:19" ht="16.5" x14ac:dyDescent="0.6">
      <c r="E47" s="13" t="s">
        <v>203</v>
      </c>
      <c r="F47">
        <v>70</v>
      </c>
      <c r="I47" t="s">
        <v>216</v>
      </c>
      <c r="J47">
        <v>32</v>
      </c>
    </row>
    <row r="48" spans="1:19" ht="16.5" x14ac:dyDescent="0.6">
      <c r="E48" s="13" t="s">
        <v>204</v>
      </c>
      <c r="F48">
        <v>300</v>
      </c>
      <c r="I48" t="s">
        <v>217</v>
      </c>
      <c r="J48">
        <v>46</v>
      </c>
    </row>
    <row r="49" spans="2:10" ht="16.5" x14ac:dyDescent="0.6">
      <c r="E49" s="13" t="s">
        <v>206</v>
      </c>
      <c r="F49">
        <v>100</v>
      </c>
      <c r="I49" t="s">
        <v>24</v>
      </c>
      <c r="J49">
        <v>20914</v>
      </c>
    </row>
    <row r="50" spans="2:10" x14ac:dyDescent="0.5">
      <c r="I50" t="s">
        <v>219</v>
      </c>
      <c r="J50">
        <v>357</v>
      </c>
    </row>
    <row r="51" spans="2:10" x14ac:dyDescent="0.5">
      <c r="J51">
        <v>300</v>
      </c>
    </row>
    <row r="53" spans="2:10" x14ac:dyDescent="0.5">
      <c r="F53">
        <f>SUM(F39:F49)</f>
        <v>4687</v>
      </c>
    </row>
    <row r="61" spans="2:10" x14ac:dyDescent="0.5">
      <c r="B61" s="7" t="s">
        <v>2</v>
      </c>
      <c r="C61" s="4">
        <v>1900</v>
      </c>
    </row>
    <row r="97" spans="2:16" x14ac:dyDescent="0.5">
      <c r="B97">
        <v>3000</v>
      </c>
    </row>
    <row r="98" spans="2:16" x14ac:dyDescent="0.5">
      <c r="B98">
        <v>2500</v>
      </c>
      <c r="J98">
        <v>3000</v>
      </c>
    </row>
    <row r="99" spans="2:16" x14ac:dyDescent="0.5">
      <c r="B99">
        <v>2500</v>
      </c>
      <c r="J99">
        <v>600</v>
      </c>
    </row>
    <row r="100" spans="2:16" x14ac:dyDescent="0.5">
      <c r="B100">
        <v>800</v>
      </c>
    </row>
    <row r="101" spans="2:16" x14ac:dyDescent="0.5">
      <c r="B101">
        <v>700</v>
      </c>
    </row>
    <row r="105" spans="2:16" x14ac:dyDescent="0.5">
      <c r="B105">
        <f>SUM(B97:B101)</f>
        <v>9500</v>
      </c>
      <c r="D105">
        <f>B105-7000</f>
        <v>2500</v>
      </c>
    </row>
    <row r="106" spans="2:16" x14ac:dyDescent="0.5">
      <c r="P106">
        <v>126</v>
      </c>
    </row>
    <row r="107" spans="2:16" x14ac:dyDescent="0.5">
      <c r="P107" s="4">
        <v>12</v>
      </c>
    </row>
    <row r="108" spans="2:16" x14ac:dyDescent="0.5">
      <c r="P108" s="4">
        <v>10</v>
      </c>
    </row>
    <row r="109" spans="2:16" x14ac:dyDescent="0.5">
      <c r="P109" s="4">
        <v>20</v>
      </c>
    </row>
    <row r="110" spans="2:16" x14ac:dyDescent="0.5">
      <c r="P110" s="4">
        <v>20</v>
      </c>
    </row>
    <row r="111" spans="2:16" x14ac:dyDescent="0.5">
      <c r="P111" s="4">
        <v>20</v>
      </c>
    </row>
    <row r="112" spans="2:16" x14ac:dyDescent="0.5">
      <c r="P112" s="4">
        <v>3.99</v>
      </c>
    </row>
    <row r="113" spans="5:16" x14ac:dyDescent="0.5">
      <c r="P113" s="4">
        <v>100</v>
      </c>
    </row>
    <row r="114" spans="5:16" x14ac:dyDescent="0.5">
      <c r="E114">
        <v>1400</v>
      </c>
      <c r="P114" s="4">
        <v>75</v>
      </c>
    </row>
    <row r="115" spans="5:16" x14ac:dyDescent="0.5">
      <c r="E115">
        <v>1300</v>
      </c>
      <c r="P115" s="4">
        <v>60</v>
      </c>
    </row>
    <row r="116" spans="5:16" x14ac:dyDescent="0.5">
      <c r="E116">
        <v>950</v>
      </c>
      <c r="P116" s="4"/>
    </row>
    <row r="117" spans="5:16" x14ac:dyDescent="0.5">
      <c r="P117" s="4">
        <v>70</v>
      </c>
    </row>
    <row r="120" spans="5:16" x14ac:dyDescent="0.5">
      <c r="E120">
        <f>SUM(E114:E118)</f>
        <v>3650</v>
      </c>
    </row>
    <row r="124" spans="5:16" x14ac:dyDescent="0.5">
      <c r="P124">
        <f>SUM(P104:P121)</f>
        <v>516.99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483-B416-4405-B16E-41B90F2A2DFA}">
  <sheetPr codeName="Feuil15"/>
  <dimension ref="A1:T125"/>
  <sheetViews>
    <sheetView workbookViewId="0">
      <selection activeCell="E19" sqref="E19"/>
    </sheetView>
  </sheetViews>
  <sheetFormatPr baseColWidth="10" defaultRowHeight="15.75" x14ac:dyDescent="0.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0" x14ac:dyDescent="0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x14ac:dyDescent="0.5">
      <c r="A3" s="3"/>
      <c r="B3" s="2"/>
      <c r="C3" s="4"/>
      <c r="D3" s="4"/>
      <c r="E3" s="4"/>
      <c r="F3" s="4"/>
      <c r="G3" s="4"/>
      <c r="H3" s="4" t="s">
        <v>59</v>
      </c>
      <c r="I3" s="4" t="s">
        <v>60</v>
      </c>
      <c r="J3" s="5"/>
      <c r="K3" s="4"/>
      <c r="L3" s="4"/>
      <c r="M3" s="4"/>
      <c r="N3" s="4"/>
      <c r="O3" s="4"/>
      <c r="P3" s="4"/>
      <c r="Q3" s="4"/>
      <c r="R3" s="4"/>
      <c r="S3" s="5"/>
    </row>
    <row r="4" spans="1:20" x14ac:dyDescent="0.5">
      <c r="A4" s="3"/>
      <c r="B4" s="2"/>
      <c r="C4" s="4"/>
      <c r="D4" s="4"/>
      <c r="E4" s="6" t="s">
        <v>19</v>
      </c>
      <c r="F4" s="7" t="s">
        <v>5</v>
      </c>
      <c r="G4" s="4"/>
      <c r="H4" s="4">
        <v>10100</v>
      </c>
      <c r="I4" s="4"/>
      <c r="J4" s="5"/>
      <c r="K4" s="4"/>
      <c r="L4" s="4"/>
      <c r="M4" s="6" t="s">
        <v>20</v>
      </c>
      <c r="N4" s="7" t="s">
        <v>5</v>
      </c>
      <c r="O4" s="4">
        <v>1480</v>
      </c>
      <c r="P4" s="4"/>
      <c r="Q4" s="4"/>
      <c r="R4" s="4"/>
      <c r="S4" s="5"/>
    </row>
    <row r="5" spans="1:20" x14ac:dyDescent="0.5">
      <c r="A5" s="3"/>
      <c r="B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5"/>
    </row>
    <row r="6" spans="1:20" x14ac:dyDescent="0.5">
      <c r="A6" s="3"/>
      <c r="B6" s="2"/>
      <c r="C6" s="7" t="s">
        <v>16</v>
      </c>
      <c r="D6" s="8"/>
      <c r="E6" s="7" t="s">
        <v>17</v>
      </c>
      <c r="F6" s="8"/>
      <c r="G6" s="7"/>
      <c r="H6" s="7" t="s">
        <v>18</v>
      </c>
      <c r="I6" s="7"/>
      <c r="J6" s="5"/>
      <c r="K6" s="7" t="s">
        <v>16</v>
      </c>
      <c r="L6" s="8"/>
      <c r="M6" s="7" t="s">
        <v>17</v>
      </c>
      <c r="N6" s="8"/>
      <c r="O6" s="7"/>
      <c r="P6" s="7" t="s">
        <v>18</v>
      </c>
      <c r="Q6" s="7"/>
      <c r="R6" s="4"/>
      <c r="S6" s="5"/>
    </row>
    <row r="7" spans="1:20" x14ac:dyDescent="0.5">
      <c r="A7" s="3"/>
      <c r="B7" s="2" t="s">
        <v>46</v>
      </c>
      <c r="C7" s="4"/>
      <c r="D7" s="4"/>
      <c r="E7" s="2" t="s">
        <v>0</v>
      </c>
      <c r="F7" s="4">
        <v>1012</v>
      </c>
      <c r="G7" s="4"/>
      <c r="H7" s="2"/>
      <c r="I7" s="4"/>
      <c r="J7" s="5"/>
      <c r="K7" s="4"/>
      <c r="L7" s="4"/>
      <c r="M7" s="2" t="s">
        <v>26</v>
      </c>
      <c r="N7" s="4">
        <v>150</v>
      </c>
      <c r="O7" s="4"/>
      <c r="P7" s="2"/>
      <c r="Q7" s="4"/>
      <c r="R7" s="4"/>
      <c r="S7" s="5"/>
    </row>
    <row r="8" spans="1:20" x14ac:dyDescent="0.5">
      <c r="A8" s="3"/>
      <c r="B8" s="2"/>
      <c r="C8" s="4" t="s">
        <v>63</v>
      </c>
      <c r="D8" s="4"/>
      <c r="E8" s="2" t="s">
        <v>220</v>
      </c>
      <c r="F8" s="4">
        <v>1000</v>
      </c>
      <c r="G8" s="4"/>
      <c r="H8" s="2"/>
      <c r="I8" s="4"/>
      <c r="J8" s="5"/>
      <c r="K8" s="4"/>
      <c r="L8" s="4"/>
      <c r="M8" s="2" t="s">
        <v>49</v>
      </c>
      <c r="N8" s="4">
        <v>200</v>
      </c>
      <c r="O8" s="4"/>
      <c r="P8" s="2"/>
      <c r="Q8" s="4"/>
      <c r="R8" s="4"/>
      <c r="S8" s="5"/>
      <c r="T8">
        <v>50</v>
      </c>
    </row>
    <row r="9" spans="1:20" x14ac:dyDescent="0.5">
      <c r="A9" s="3"/>
      <c r="B9" s="2" t="s">
        <v>15</v>
      </c>
      <c r="C9" s="4">
        <v>400</v>
      </c>
      <c r="D9" s="4"/>
      <c r="E9" s="2" t="s">
        <v>235</v>
      </c>
      <c r="F9" s="4">
        <v>96</v>
      </c>
      <c r="G9" s="4"/>
      <c r="H9" s="2"/>
      <c r="I9" s="4"/>
      <c r="J9" s="5"/>
      <c r="K9" s="4"/>
      <c r="L9" s="4"/>
      <c r="M9" s="2" t="s">
        <v>50</v>
      </c>
      <c r="N9" s="4">
        <v>200</v>
      </c>
      <c r="O9" s="4"/>
      <c r="P9" s="2"/>
      <c r="Q9" s="4"/>
      <c r="R9" s="4"/>
      <c r="S9" s="5"/>
      <c r="T9">
        <v>200</v>
      </c>
    </row>
    <row r="10" spans="1:20" x14ac:dyDescent="0.5">
      <c r="A10" s="3"/>
      <c r="B10" s="2" t="s">
        <v>221</v>
      </c>
      <c r="C10" s="4">
        <v>0</v>
      </c>
      <c r="D10" s="4"/>
      <c r="E10" s="2" t="s">
        <v>187</v>
      </c>
      <c r="F10" s="4">
        <v>50</v>
      </c>
      <c r="G10" s="4"/>
      <c r="H10" s="2"/>
      <c r="I10" s="4"/>
      <c r="J10" s="5"/>
      <c r="K10" s="4"/>
      <c r="L10" s="4"/>
      <c r="M10" s="2" t="s">
        <v>51</v>
      </c>
      <c r="N10" s="4">
        <v>300</v>
      </c>
      <c r="O10" s="4"/>
      <c r="P10" s="2"/>
      <c r="Q10" s="4"/>
      <c r="R10" s="4"/>
      <c r="S10" s="5"/>
      <c r="T10">
        <v>150</v>
      </c>
    </row>
    <row r="11" spans="1:20" x14ac:dyDescent="0.5">
      <c r="A11" s="3"/>
      <c r="B11" s="2" t="s">
        <v>195</v>
      </c>
      <c r="C11" s="4">
        <v>198</v>
      </c>
      <c r="D11" s="4"/>
      <c r="E11" s="2" t="s">
        <v>1</v>
      </c>
      <c r="F11" s="4">
        <v>157</v>
      </c>
      <c r="G11" s="4"/>
      <c r="J11" s="5"/>
      <c r="K11" s="4"/>
      <c r="L11" s="4"/>
      <c r="M11" s="2" t="s">
        <v>52</v>
      </c>
      <c r="N11" s="4">
        <v>100</v>
      </c>
      <c r="O11" s="4"/>
      <c r="P11" s="2"/>
      <c r="Q11" s="4"/>
      <c r="R11" s="4"/>
      <c r="S11" s="5"/>
      <c r="T11">
        <v>160</v>
      </c>
    </row>
    <row r="12" spans="1:20" x14ac:dyDescent="0.5">
      <c r="A12" s="3"/>
      <c r="B12" s="2" t="s">
        <v>223</v>
      </c>
      <c r="C12" s="4">
        <v>1500</v>
      </c>
      <c r="D12" s="4"/>
      <c r="E12" s="2" t="s">
        <v>9</v>
      </c>
      <c r="F12" s="4">
        <v>300</v>
      </c>
      <c r="G12" s="4"/>
      <c r="J12" s="5"/>
      <c r="K12" s="4"/>
      <c r="L12" s="4"/>
      <c r="M12" s="2" t="s">
        <v>53</v>
      </c>
      <c r="N12" s="4">
        <v>13</v>
      </c>
      <c r="O12" s="4"/>
      <c r="P12" s="2"/>
      <c r="Q12" s="4"/>
      <c r="R12" s="4"/>
      <c r="S12" s="5"/>
    </row>
    <row r="13" spans="1:20" x14ac:dyDescent="0.5">
      <c r="A13" s="3"/>
      <c r="B13" s="2" t="s">
        <v>256</v>
      </c>
      <c r="C13" s="4">
        <v>250</v>
      </c>
      <c r="D13" s="4"/>
      <c r="E13" s="2" t="s">
        <v>235</v>
      </c>
      <c r="F13" s="4">
        <v>52</v>
      </c>
      <c r="G13" s="4"/>
      <c r="J13" s="5"/>
      <c r="K13" s="4"/>
      <c r="L13" s="4"/>
      <c r="M13" s="2" t="s">
        <v>54</v>
      </c>
      <c r="N13" s="4">
        <v>13</v>
      </c>
      <c r="O13" s="4"/>
      <c r="P13" s="2"/>
      <c r="Q13" s="4"/>
      <c r="R13" s="4"/>
      <c r="S13" s="5"/>
    </row>
    <row r="14" spans="1:20" x14ac:dyDescent="0.5">
      <c r="A14" s="3"/>
      <c r="B14" s="2" t="s">
        <v>257</v>
      </c>
      <c r="C14" s="4">
        <v>200</v>
      </c>
      <c r="D14" s="4"/>
      <c r="E14" s="2" t="s">
        <v>14</v>
      </c>
      <c r="F14" s="4">
        <v>13</v>
      </c>
      <c r="G14" s="4"/>
      <c r="J14" s="5"/>
      <c r="K14" s="4"/>
      <c r="L14" s="4"/>
      <c r="M14" s="2"/>
      <c r="N14" s="4"/>
      <c r="O14" s="4"/>
      <c r="P14" s="2"/>
      <c r="Q14" s="4"/>
      <c r="R14" s="4"/>
      <c r="S14" s="5"/>
      <c r="T14">
        <f>SUM(T8:T11)</f>
        <v>560</v>
      </c>
    </row>
    <row r="15" spans="1:20" x14ac:dyDescent="0.5">
      <c r="A15" s="3"/>
      <c r="B15" s="2" t="s">
        <v>258</v>
      </c>
      <c r="C15" s="4">
        <f>317+35</f>
        <v>352</v>
      </c>
      <c r="D15" s="4"/>
      <c r="E15" s="2" t="s">
        <v>56</v>
      </c>
      <c r="F15" s="4">
        <v>100</v>
      </c>
      <c r="G15" s="4"/>
      <c r="H15" s="2"/>
      <c r="I15" s="4"/>
      <c r="J15" s="5"/>
      <c r="K15" s="4"/>
      <c r="L15" s="4"/>
      <c r="M15" s="2"/>
      <c r="N15" s="4"/>
      <c r="O15" s="4"/>
      <c r="P15" s="2"/>
      <c r="Q15" s="4"/>
      <c r="R15" s="4"/>
      <c r="S15" s="5"/>
    </row>
    <row r="16" spans="1:20" x14ac:dyDescent="0.5">
      <c r="A16" s="3"/>
      <c r="B16" s="2" t="s">
        <v>260</v>
      </c>
      <c r="C16" s="4">
        <v>248</v>
      </c>
      <c r="D16" s="4"/>
      <c r="E16" s="2" t="s">
        <v>222</v>
      </c>
      <c r="F16" s="4">
        <v>131</v>
      </c>
      <c r="G16" s="4"/>
      <c r="H16" s="4"/>
      <c r="I16" s="4"/>
      <c r="J16" s="5"/>
      <c r="K16" s="4"/>
      <c r="L16" s="4"/>
      <c r="M16" s="2"/>
      <c r="N16" s="4"/>
      <c r="O16" s="4"/>
      <c r="P16" s="4"/>
      <c r="Q16" s="4"/>
      <c r="R16" s="4"/>
      <c r="S16" s="5"/>
    </row>
    <row r="17" spans="1:19" x14ac:dyDescent="0.5">
      <c r="A17" s="3"/>
      <c r="B17" s="2" t="s">
        <v>262</v>
      </c>
      <c r="C17" s="4">
        <v>104</v>
      </c>
      <c r="D17" s="4"/>
      <c r="E17" s="2"/>
      <c r="F17" s="4"/>
      <c r="G17" s="4"/>
      <c r="H17" s="4"/>
      <c r="I17" s="4"/>
      <c r="J17" s="5"/>
      <c r="K17" s="4"/>
      <c r="L17" s="4"/>
      <c r="M17" s="2"/>
      <c r="N17" s="4"/>
      <c r="O17" s="4"/>
      <c r="P17" s="4"/>
      <c r="Q17" s="4"/>
      <c r="R17" s="4"/>
      <c r="S17" s="5"/>
    </row>
    <row r="18" spans="1:19" x14ac:dyDescent="0.5">
      <c r="A18" s="3"/>
      <c r="B18" s="2" t="s">
        <v>261</v>
      </c>
      <c r="C18" s="4">
        <v>89</v>
      </c>
      <c r="D18" s="4"/>
      <c r="E18" s="2"/>
      <c r="F18" s="4"/>
      <c r="G18" s="4"/>
      <c r="H18" s="4"/>
      <c r="I18" s="4"/>
      <c r="J18" s="5"/>
      <c r="K18" s="4"/>
      <c r="L18" s="4"/>
      <c r="M18" s="2"/>
      <c r="N18" s="4"/>
      <c r="O18" s="4"/>
      <c r="P18" s="4"/>
      <c r="Q18" s="4"/>
      <c r="R18" s="4"/>
      <c r="S18" s="5"/>
    </row>
    <row r="19" spans="1:19" x14ac:dyDescent="0.5">
      <c r="A19" s="3"/>
      <c r="B19" s="4"/>
      <c r="C19" s="4"/>
      <c r="D19" s="4"/>
      <c r="E19" s="2"/>
      <c r="F19" s="4"/>
      <c r="G19" s="4"/>
      <c r="H19" s="4"/>
      <c r="I19" s="4"/>
      <c r="J19" s="5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5">
      <c r="A20" s="3"/>
      <c r="B20" s="4"/>
      <c r="C20" s="4"/>
      <c r="D20" s="4"/>
      <c r="E20" s="4"/>
      <c r="F20" s="4"/>
      <c r="G20" s="4"/>
      <c r="H20" s="4"/>
      <c r="I20" s="4"/>
      <c r="J20" s="5"/>
      <c r="K20" s="4"/>
      <c r="L20" s="4"/>
      <c r="M20" s="4"/>
      <c r="N20" s="4"/>
      <c r="O20" s="4"/>
      <c r="P20" s="4"/>
      <c r="Q20" s="4"/>
      <c r="R20" s="4"/>
      <c r="S20" s="5"/>
    </row>
    <row r="21" spans="1:19" x14ac:dyDescent="0.5">
      <c r="A21" s="3"/>
      <c r="B21" s="4"/>
      <c r="C21" s="4"/>
      <c r="D21" s="4"/>
      <c r="G21" s="4"/>
      <c r="H21" s="4"/>
      <c r="I21" s="4"/>
      <c r="J21" s="5"/>
      <c r="K21" s="4"/>
      <c r="L21" s="4"/>
      <c r="M21" s="4"/>
      <c r="N21" s="4"/>
      <c r="O21" s="4"/>
      <c r="P21" s="4"/>
      <c r="Q21" s="4"/>
      <c r="R21" s="4"/>
      <c r="S21" s="5"/>
    </row>
    <row r="22" spans="1:19" x14ac:dyDescent="0.5">
      <c r="A22" s="3"/>
      <c r="B22" s="7" t="s">
        <v>4</v>
      </c>
      <c r="C22" s="4">
        <f>SUM(C7:C19)</f>
        <v>3341</v>
      </c>
      <c r="D22" s="4"/>
      <c r="E22" s="4"/>
      <c r="F22" s="4">
        <f>SUM(F7:F20)+150</f>
        <v>3061</v>
      </c>
      <c r="G22" s="4"/>
      <c r="H22" s="4"/>
      <c r="I22" s="4">
        <f>SUM(I7:I19)</f>
        <v>0</v>
      </c>
      <c r="J22" s="5"/>
      <c r="K22" s="4"/>
      <c r="L22" s="4"/>
      <c r="M22" s="4"/>
      <c r="N22" s="4">
        <f>SUM(N7:N19)</f>
        <v>976</v>
      </c>
      <c r="O22" s="4"/>
      <c r="P22" s="4"/>
      <c r="Q22" s="4">
        <f>SUM(Q7:Q18)</f>
        <v>0</v>
      </c>
      <c r="R22" s="4"/>
      <c r="S22" s="5"/>
    </row>
    <row r="23" spans="1:19" x14ac:dyDescent="0.5">
      <c r="A23" s="3"/>
      <c r="B23" s="4"/>
      <c r="C23" s="4"/>
      <c r="D23" s="4"/>
      <c r="E23" s="4"/>
      <c r="F23" s="4"/>
      <c r="G23" s="4"/>
      <c r="H23" s="4"/>
      <c r="I23" s="4"/>
      <c r="J23" s="5"/>
      <c r="K23" s="4"/>
      <c r="L23" s="4"/>
      <c r="M23" s="4"/>
      <c r="N23" s="4"/>
      <c r="O23" s="4"/>
      <c r="P23" s="4"/>
      <c r="Q23" s="4"/>
      <c r="R23" s="4"/>
      <c r="S23" s="5"/>
    </row>
    <row r="24" spans="1:19" x14ac:dyDescent="0.5">
      <c r="A24" s="3"/>
      <c r="B24" s="4"/>
      <c r="C24" s="4"/>
      <c r="D24" s="4"/>
      <c r="E24" s="4"/>
      <c r="F24" s="4"/>
      <c r="G24" s="4"/>
      <c r="H24" s="4"/>
      <c r="I24" s="4"/>
      <c r="J24" s="5"/>
      <c r="K24" s="4"/>
      <c r="L24" s="4"/>
      <c r="M24" s="4"/>
      <c r="N24" s="4"/>
      <c r="O24" s="4"/>
      <c r="P24" s="4"/>
      <c r="Q24" s="4"/>
      <c r="R24" s="4"/>
      <c r="S24" s="5"/>
    </row>
    <row r="25" spans="1:19" x14ac:dyDescent="0.5">
      <c r="A25" s="3"/>
      <c r="B25" s="4"/>
      <c r="C25" s="4"/>
      <c r="D25" s="4"/>
      <c r="E25" s="4"/>
      <c r="F25" s="4"/>
      <c r="G25" s="4"/>
      <c r="H25" s="4"/>
      <c r="I25" s="4"/>
      <c r="J25" s="5"/>
      <c r="K25" s="4"/>
      <c r="L25" s="4"/>
      <c r="M25" s="4"/>
      <c r="N25" s="4"/>
      <c r="O25" s="4"/>
      <c r="P25" s="4"/>
      <c r="Q25" s="4"/>
      <c r="R25" s="4"/>
      <c r="S25" s="5"/>
    </row>
    <row r="26" spans="1:19" x14ac:dyDescent="0.5">
      <c r="A26" s="3"/>
      <c r="B26" s="4"/>
      <c r="C26" s="7" t="s">
        <v>8</v>
      </c>
      <c r="D26" s="4">
        <f>C22+F22+I22</f>
        <v>6402</v>
      </c>
      <c r="E26" s="4"/>
      <c r="F26" s="4"/>
      <c r="G26" s="4"/>
      <c r="H26" s="4"/>
      <c r="I26" s="4"/>
      <c r="J26" s="5"/>
      <c r="K26" s="7" t="s">
        <v>4</v>
      </c>
      <c r="L26" s="4"/>
      <c r="M26" s="4"/>
      <c r="N26" s="4"/>
      <c r="O26" s="4"/>
      <c r="P26" s="4">
        <f>N22+Q22</f>
        <v>976</v>
      </c>
      <c r="Q26" s="4"/>
      <c r="R26" s="4"/>
      <c r="S26" s="5"/>
    </row>
    <row r="27" spans="1:19" x14ac:dyDescent="0.5">
      <c r="A27" s="3"/>
      <c r="B27" s="4"/>
      <c r="C27" s="4"/>
      <c r="D27" s="4"/>
      <c r="E27" s="4"/>
      <c r="F27" s="4"/>
      <c r="G27" s="4"/>
      <c r="H27" s="4"/>
      <c r="I27" s="4"/>
      <c r="J27" s="5"/>
      <c r="K27" s="4"/>
      <c r="L27" s="4"/>
      <c r="M27" s="4"/>
      <c r="N27" s="4"/>
      <c r="O27" s="4"/>
      <c r="P27" s="4"/>
      <c r="Q27" s="4"/>
      <c r="R27" s="4"/>
      <c r="S27" s="5"/>
    </row>
    <row r="28" spans="1:19" x14ac:dyDescent="0.5">
      <c r="A28" s="3"/>
      <c r="B28" s="4"/>
      <c r="C28" s="4"/>
      <c r="D28" s="4"/>
      <c r="E28" s="4"/>
      <c r="F28" s="4"/>
      <c r="G28" s="4"/>
      <c r="H28" s="4"/>
      <c r="I28" s="4"/>
      <c r="J28" s="5"/>
      <c r="K28" s="4"/>
      <c r="L28" s="4"/>
      <c r="M28" s="4"/>
      <c r="N28" s="4"/>
      <c r="O28" s="4"/>
      <c r="P28" s="4"/>
      <c r="Q28" s="4"/>
      <c r="R28" s="4"/>
      <c r="S28" s="5"/>
    </row>
    <row r="29" spans="1:19" x14ac:dyDescent="0.5">
      <c r="A29" s="3"/>
      <c r="B29" s="7" t="s">
        <v>74</v>
      </c>
      <c r="C29" s="4">
        <f>ABS(G4-D26)</f>
        <v>6402</v>
      </c>
      <c r="D29" s="4"/>
      <c r="E29" s="4"/>
      <c r="F29" s="4"/>
      <c r="G29" s="4"/>
      <c r="H29" s="4"/>
      <c r="I29" s="4"/>
      <c r="J29" s="5"/>
      <c r="K29" s="7" t="s">
        <v>21</v>
      </c>
      <c r="L29" s="4">
        <f>O4-P26</f>
        <v>504</v>
      </c>
      <c r="M29" s="4"/>
      <c r="N29" s="4"/>
      <c r="O29" s="4"/>
      <c r="P29" s="4"/>
      <c r="Q29" s="4"/>
      <c r="R29" s="4"/>
      <c r="S29" s="5"/>
    </row>
    <row r="30" spans="1:19" x14ac:dyDescent="0.5">
      <c r="A30" s="3"/>
      <c r="B30" s="4"/>
      <c r="C30" s="4"/>
      <c r="D30" s="4"/>
      <c r="E30" s="4"/>
      <c r="F30" s="4"/>
      <c r="G30" s="4"/>
      <c r="H30" s="4"/>
      <c r="I30" s="4"/>
      <c r="J30" s="5"/>
      <c r="K30" s="4"/>
      <c r="L30" s="4"/>
      <c r="M30" s="4"/>
      <c r="N30" s="4"/>
      <c r="O30" s="4"/>
      <c r="P30" s="4"/>
      <c r="Q30" s="4"/>
      <c r="R30" s="4"/>
      <c r="S30" s="5"/>
    </row>
    <row r="31" spans="1:19" x14ac:dyDescent="0.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 x14ac:dyDescent="0.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5">
      <c r="A34" s="2"/>
      <c r="B34" s="7" t="s">
        <v>25</v>
      </c>
      <c r="C34" s="4">
        <f>H4-D26</f>
        <v>3698</v>
      </c>
      <c r="D34" s="4"/>
      <c r="E34" s="4"/>
      <c r="F34" s="4"/>
      <c r="G34" s="4"/>
      <c r="H34" s="4"/>
      <c r="I34" s="4"/>
      <c r="J34" s="4">
        <f>C29+L29</f>
        <v>6906</v>
      </c>
      <c r="K34" s="4"/>
      <c r="L34" s="4"/>
      <c r="M34" s="4"/>
      <c r="N34" s="4"/>
      <c r="O34" s="4"/>
      <c r="P34" s="4"/>
      <c r="Q34" s="4"/>
      <c r="R34" s="4"/>
      <c r="S34" s="4"/>
    </row>
    <row r="35" spans="1:19" x14ac:dyDescent="0.5">
      <c r="A35" s="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x14ac:dyDescent="0.5">
      <c r="E36">
        <f>5.2+13.8+10.96+13+13+21+6.99+47+62+12+68+40</f>
        <v>312.95</v>
      </c>
    </row>
    <row r="39" spans="1:19" x14ac:dyDescent="0.5">
      <c r="I39" t="s">
        <v>208</v>
      </c>
      <c r="J39">
        <v>39</v>
      </c>
      <c r="L39" t="s">
        <v>214</v>
      </c>
      <c r="M39">
        <f>SUM(J39:J58)</f>
        <v>22002</v>
      </c>
    </row>
    <row r="40" spans="1:19" ht="16.5" x14ac:dyDescent="0.6">
      <c r="E40" s="13" t="s">
        <v>196</v>
      </c>
      <c r="F40">
        <v>500</v>
      </c>
      <c r="I40" t="s">
        <v>209</v>
      </c>
      <c r="J40">
        <v>100</v>
      </c>
    </row>
    <row r="41" spans="1:19" ht="16.5" x14ac:dyDescent="0.6">
      <c r="E41" s="13" t="s">
        <v>197</v>
      </c>
      <c r="F41">
        <v>800</v>
      </c>
      <c r="I41" t="s">
        <v>210</v>
      </c>
      <c r="J41">
        <v>21</v>
      </c>
    </row>
    <row r="42" spans="1:19" ht="16.5" x14ac:dyDescent="0.6">
      <c r="E42" s="13" t="s">
        <v>198</v>
      </c>
      <c r="F42">
        <v>200</v>
      </c>
      <c r="I42" t="s">
        <v>211</v>
      </c>
      <c r="J42">
        <v>20</v>
      </c>
    </row>
    <row r="43" spans="1:19" ht="16.5" x14ac:dyDescent="0.6">
      <c r="E43" s="13" t="s">
        <v>199</v>
      </c>
      <c r="F43">
        <v>2000</v>
      </c>
      <c r="I43" t="s">
        <v>212</v>
      </c>
      <c r="J43">
        <v>20</v>
      </c>
    </row>
    <row r="44" spans="1:19" ht="16.5" x14ac:dyDescent="0.6">
      <c r="E44" s="13" t="s">
        <v>205</v>
      </c>
      <c r="F44">
        <v>500</v>
      </c>
      <c r="I44" t="s">
        <v>212</v>
      </c>
      <c r="J44">
        <v>27</v>
      </c>
    </row>
    <row r="45" spans="1:19" ht="16.5" x14ac:dyDescent="0.6">
      <c r="E45" s="13" t="s">
        <v>200</v>
      </c>
      <c r="F45">
        <v>100</v>
      </c>
      <c r="I45" t="s">
        <v>213</v>
      </c>
      <c r="J45">
        <v>67</v>
      </c>
    </row>
    <row r="46" spans="1:19" ht="16.5" x14ac:dyDescent="0.6">
      <c r="E46" s="13" t="s">
        <v>201</v>
      </c>
      <c r="F46">
        <v>67</v>
      </c>
      <c r="I46" t="s">
        <v>22</v>
      </c>
      <c r="J46">
        <v>28</v>
      </c>
    </row>
    <row r="47" spans="1:19" ht="16.5" x14ac:dyDescent="0.6">
      <c r="E47" s="13" t="s">
        <v>202</v>
      </c>
      <c r="F47">
        <v>50</v>
      </c>
      <c r="I47" t="s">
        <v>215</v>
      </c>
      <c r="J47">
        <v>31</v>
      </c>
    </row>
    <row r="48" spans="1:19" ht="16.5" x14ac:dyDescent="0.6">
      <c r="E48" s="13" t="s">
        <v>203</v>
      </c>
      <c r="F48">
        <v>70</v>
      </c>
      <c r="I48" t="s">
        <v>216</v>
      </c>
      <c r="J48">
        <v>32</v>
      </c>
    </row>
    <row r="49" spans="2:10" ht="16.5" x14ac:dyDescent="0.6">
      <c r="E49" s="13" t="s">
        <v>204</v>
      </c>
      <c r="F49">
        <v>300</v>
      </c>
      <c r="I49" t="s">
        <v>217</v>
      </c>
      <c r="J49">
        <v>46</v>
      </c>
    </row>
    <row r="50" spans="2:10" ht="16.5" x14ac:dyDescent="0.6">
      <c r="E50" s="13" t="s">
        <v>206</v>
      </c>
      <c r="F50">
        <v>100</v>
      </c>
      <c r="I50" t="s">
        <v>24</v>
      </c>
      <c r="J50">
        <v>20914</v>
      </c>
    </row>
    <row r="51" spans="2:10" x14ac:dyDescent="0.5">
      <c r="I51" t="s">
        <v>219</v>
      </c>
      <c r="J51">
        <v>357</v>
      </c>
    </row>
    <row r="52" spans="2:10" x14ac:dyDescent="0.5">
      <c r="J52">
        <v>300</v>
      </c>
    </row>
    <row r="54" spans="2:10" x14ac:dyDescent="0.5">
      <c r="F54">
        <f>SUM(F40:F50)</f>
        <v>4687</v>
      </c>
    </row>
    <row r="62" spans="2:10" x14ac:dyDescent="0.5">
      <c r="B62" s="7" t="s">
        <v>2</v>
      </c>
      <c r="C62" s="4">
        <v>1900</v>
      </c>
    </row>
    <row r="98" spans="2:16" x14ac:dyDescent="0.5">
      <c r="B98">
        <v>3000</v>
      </c>
    </row>
    <row r="99" spans="2:16" x14ac:dyDescent="0.5">
      <c r="B99">
        <v>2500</v>
      </c>
      <c r="J99">
        <v>3000</v>
      </c>
    </row>
    <row r="100" spans="2:16" x14ac:dyDescent="0.5">
      <c r="B100">
        <v>2500</v>
      </c>
      <c r="J100">
        <v>600</v>
      </c>
    </row>
    <row r="101" spans="2:16" x14ac:dyDescent="0.5">
      <c r="B101">
        <v>800</v>
      </c>
    </row>
    <row r="102" spans="2:16" x14ac:dyDescent="0.5">
      <c r="B102">
        <v>700</v>
      </c>
    </row>
    <row r="106" spans="2:16" x14ac:dyDescent="0.5">
      <c r="B106">
        <f>SUM(B98:B102)</f>
        <v>9500</v>
      </c>
      <c r="D106">
        <f>B106-7000</f>
        <v>2500</v>
      </c>
    </row>
    <row r="107" spans="2:16" x14ac:dyDescent="0.5">
      <c r="P107">
        <v>126</v>
      </c>
    </row>
    <row r="108" spans="2:16" x14ac:dyDescent="0.5">
      <c r="P108" s="4">
        <v>12</v>
      </c>
    </row>
    <row r="109" spans="2:16" x14ac:dyDescent="0.5">
      <c r="P109" s="4">
        <v>10</v>
      </c>
    </row>
    <row r="110" spans="2:16" x14ac:dyDescent="0.5">
      <c r="P110" s="4">
        <v>20</v>
      </c>
    </row>
    <row r="111" spans="2:16" x14ac:dyDescent="0.5">
      <c r="P111" s="4">
        <v>20</v>
      </c>
    </row>
    <row r="112" spans="2:16" x14ac:dyDescent="0.5">
      <c r="P112" s="4">
        <v>20</v>
      </c>
    </row>
    <row r="113" spans="5:16" x14ac:dyDescent="0.5">
      <c r="P113" s="4">
        <v>3.99</v>
      </c>
    </row>
    <row r="114" spans="5:16" x14ac:dyDescent="0.5">
      <c r="P114" s="4">
        <v>100</v>
      </c>
    </row>
    <row r="115" spans="5:16" x14ac:dyDescent="0.5">
      <c r="E115">
        <v>1400</v>
      </c>
      <c r="P115" s="4">
        <v>75</v>
      </c>
    </row>
    <row r="116" spans="5:16" x14ac:dyDescent="0.5">
      <c r="E116">
        <v>1300</v>
      </c>
      <c r="P116" s="4">
        <v>60</v>
      </c>
    </row>
    <row r="117" spans="5:16" x14ac:dyDescent="0.5">
      <c r="E117">
        <v>950</v>
      </c>
      <c r="P117" s="4"/>
    </row>
    <row r="118" spans="5:16" x14ac:dyDescent="0.5">
      <c r="P118" s="4">
        <v>70</v>
      </c>
    </row>
    <row r="121" spans="5:16" x14ac:dyDescent="0.5">
      <c r="E121">
        <f>SUM(E115:E119)</f>
        <v>3650</v>
      </c>
    </row>
    <row r="125" spans="5:16" x14ac:dyDescent="0.5">
      <c r="P125">
        <f>SUM(P105:P122)</f>
        <v>516.99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18BA-A9DA-4209-85B1-21AB2F24CB40}">
  <sheetPr codeName="Feuil16"/>
  <dimension ref="A1:T125"/>
  <sheetViews>
    <sheetView workbookViewId="0">
      <selection activeCell="H4" sqref="A1:XFD1048576"/>
    </sheetView>
  </sheetViews>
  <sheetFormatPr baseColWidth="10" defaultRowHeight="15.75" x14ac:dyDescent="0.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0" x14ac:dyDescent="0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x14ac:dyDescent="0.5">
      <c r="A3" s="3"/>
      <c r="B3" s="2"/>
      <c r="C3" s="4"/>
      <c r="D3" s="4"/>
      <c r="E3" s="4"/>
      <c r="F3" s="4"/>
      <c r="G3" s="4"/>
      <c r="H3" s="4" t="s">
        <v>59</v>
      </c>
      <c r="I3" s="4" t="s">
        <v>60</v>
      </c>
      <c r="J3" s="5"/>
      <c r="K3" s="4"/>
      <c r="L3" s="4"/>
      <c r="M3" s="4"/>
      <c r="N3" s="4"/>
      <c r="O3" s="4"/>
      <c r="P3" s="4"/>
      <c r="Q3" s="4"/>
      <c r="R3" s="4"/>
      <c r="S3" s="5"/>
    </row>
    <row r="4" spans="1:20" x14ac:dyDescent="0.5">
      <c r="A4" s="3"/>
      <c r="B4" s="2"/>
      <c r="C4" s="4"/>
      <c r="D4" s="4"/>
      <c r="E4" s="6" t="s">
        <v>19</v>
      </c>
      <c r="F4" s="7" t="s">
        <v>5</v>
      </c>
      <c r="G4" s="4"/>
      <c r="H4" s="4">
        <f>2200+3000+900</f>
        <v>6100</v>
      </c>
      <c r="I4" s="4"/>
      <c r="J4" s="5"/>
      <c r="K4" s="4"/>
      <c r="L4" s="4"/>
      <c r="M4" s="6" t="s">
        <v>20</v>
      </c>
      <c r="N4" s="7" t="s">
        <v>5</v>
      </c>
      <c r="O4" s="4">
        <v>1480</v>
      </c>
      <c r="P4" s="4"/>
      <c r="Q4" s="4"/>
      <c r="R4" s="4"/>
      <c r="S4" s="5"/>
    </row>
    <row r="5" spans="1:20" x14ac:dyDescent="0.5">
      <c r="A5" s="3"/>
      <c r="B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5"/>
    </row>
    <row r="6" spans="1:20" x14ac:dyDescent="0.5">
      <c r="A6" s="3"/>
      <c r="B6" s="2"/>
      <c r="C6" s="7" t="s">
        <v>16</v>
      </c>
      <c r="D6" s="8"/>
      <c r="E6" s="7" t="s">
        <v>17</v>
      </c>
      <c r="F6" s="8"/>
      <c r="G6" s="7"/>
      <c r="H6" s="7" t="s">
        <v>18</v>
      </c>
      <c r="I6" s="7"/>
      <c r="J6" s="5"/>
      <c r="K6" s="7" t="s">
        <v>16</v>
      </c>
      <c r="L6" s="8"/>
      <c r="M6" s="7" t="s">
        <v>17</v>
      </c>
      <c r="N6" s="8"/>
      <c r="O6" s="7"/>
      <c r="P6" s="7" t="s">
        <v>18</v>
      </c>
      <c r="Q6" s="7"/>
      <c r="R6" s="4"/>
      <c r="S6" s="5"/>
    </row>
    <row r="7" spans="1:20" x14ac:dyDescent="0.5">
      <c r="A7" s="3"/>
      <c r="B7" s="2" t="s">
        <v>46</v>
      </c>
      <c r="C7" s="4"/>
      <c r="D7" s="4"/>
      <c r="E7" s="2" t="s">
        <v>0</v>
      </c>
      <c r="F7" s="4">
        <v>1012</v>
      </c>
      <c r="G7" s="4"/>
      <c r="H7" s="2"/>
      <c r="I7" s="4"/>
      <c r="J7" s="5"/>
      <c r="K7" s="4"/>
      <c r="L7" s="4"/>
      <c r="M7" s="2" t="s">
        <v>26</v>
      </c>
      <c r="N7" s="4">
        <v>150</v>
      </c>
      <c r="O7" s="4"/>
      <c r="P7" s="2"/>
      <c r="Q7" s="4"/>
      <c r="R7" s="4"/>
      <c r="S7" s="5"/>
    </row>
    <row r="8" spans="1:20" x14ac:dyDescent="0.5">
      <c r="A8" s="3"/>
      <c r="B8" s="2"/>
      <c r="C8" s="4" t="s">
        <v>63</v>
      </c>
      <c r="D8" s="4"/>
      <c r="E8" s="2" t="s">
        <v>220</v>
      </c>
      <c r="F8" s="4">
        <v>1000</v>
      </c>
      <c r="G8" s="4"/>
      <c r="H8" s="2"/>
      <c r="I8" s="4"/>
      <c r="J8" s="5"/>
      <c r="K8" s="4"/>
      <c r="L8" s="4"/>
      <c r="M8" s="2" t="s">
        <v>49</v>
      </c>
      <c r="N8" s="4">
        <v>200</v>
      </c>
      <c r="O8" s="4"/>
      <c r="P8" s="2"/>
      <c r="Q8" s="4"/>
      <c r="R8" s="4"/>
      <c r="S8" s="5"/>
      <c r="T8">
        <v>50</v>
      </c>
    </row>
    <row r="9" spans="1:20" x14ac:dyDescent="0.5">
      <c r="A9" s="3"/>
      <c r="B9" s="2" t="s">
        <v>15</v>
      </c>
      <c r="C9" s="4">
        <v>400</v>
      </c>
      <c r="D9" s="4"/>
      <c r="E9" s="2" t="s">
        <v>235</v>
      </c>
      <c r="F9" s="4">
        <v>96</v>
      </c>
      <c r="G9" s="4"/>
      <c r="H9" s="2"/>
      <c r="I9" s="4"/>
      <c r="J9" s="5"/>
      <c r="K9" s="4"/>
      <c r="L9" s="4"/>
      <c r="M9" s="2" t="s">
        <v>50</v>
      </c>
      <c r="N9" s="4">
        <v>200</v>
      </c>
      <c r="O9" s="4"/>
      <c r="P9" s="2"/>
      <c r="Q9" s="4"/>
      <c r="R9" s="4"/>
      <c r="S9" s="5"/>
      <c r="T9">
        <v>200</v>
      </c>
    </row>
    <row r="10" spans="1:20" x14ac:dyDescent="0.5">
      <c r="A10" s="3"/>
      <c r="B10" s="2" t="s">
        <v>221</v>
      </c>
      <c r="C10" s="4">
        <v>0</v>
      </c>
      <c r="D10" s="4"/>
      <c r="E10" s="2" t="s">
        <v>187</v>
      </c>
      <c r="F10" s="4">
        <v>50</v>
      </c>
      <c r="G10" s="4"/>
      <c r="H10" s="2"/>
      <c r="I10" s="4"/>
      <c r="J10" s="5"/>
      <c r="K10" s="4"/>
      <c r="L10" s="4"/>
      <c r="M10" s="2" t="s">
        <v>51</v>
      </c>
      <c r="N10" s="4">
        <v>300</v>
      </c>
      <c r="O10" s="4"/>
      <c r="P10" s="2"/>
      <c r="Q10" s="4"/>
      <c r="R10" s="4"/>
      <c r="S10" s="5"/>
      <c r="T10">
        <v>150</v>
      </c>
    </row>
    <row r="11" spans="1:20" x14ac:dyDescent="0.5">
      <c r="A11" s="3"/>
      <c r="B11" s="2" t="s">
        <v>195</v>
      </c>
      <c r="C11" s="4">
        <v>39</v>
      </c>
      <c r="D11" s="4"/>
      <c r="E11" s="2" t="s">
        <v>1</v>
      </c>
      <c r="F11" s="4">
        <v>157</v>
      </c>
      <c r="G11" s="4"/>
      <c r="J11" s="5"/>
      <c r="K11" s="4"/>
      <c r="L11" s="4"/>
      <c r="M11" s="2" t="s">
        <v>52</v>
      </c>
      <c r="N11" s="4">
        <v>100</v>
      </c>
      <c r="O11" s="4"/>
      <c r="P11" s="2"/>
      <c r="Q11" s="4"/>
      <c r="R11" s="4"/>
      <c r="S11" s="5"/>
      <c r="T11">
        <v>160</v>
      </c>
    </row>
    <row r="12" spans="1:20" x14ac:dyDescent="0.5">
      <c r="A12" s="3"/>
      <c r="B12" s="2" t="s">
        <v>223</v>
      </c>
      <c r="C12" s="4">
        <v>1500</v>
      </c>
      <c r="D12" s="4"/>
      <c r="E12" s="2" t="s">
        <v>9</v>
      </c>
      <c r="F12" s="4">
        <v>300</v>
      </c>
      <c r="G12" s="4"/>
      <c r="J12" s="5"/>
      <c r="K12" s="4"/>
      <c r="L12" s="4"/>
      <c r="M12" s="2" t="s">
        <v>53</v>
      </c>
      <c r="N12" s="4">
        <v>13</v>
      </c>
      <c r="O12" s="4"/>
      <c r="P12" s="2"/>
      <c r="Q12" s="4"/>
      <c r="R12" s="4"/>
      <c r="S12" s="5"/>
    </row>
    <row r="13" spans="1:20" x14ac:dyDescent="0.5">
      <c r="A13" s="3"/>
      <c r="B13" s="2" t="s">
        <v>256</v>
      </c>
      <c r="C13" s="4"/>
      <c r="D13" s="4"/>
      <c r="E13" s="2" t="s">
        <v>235</v>
      </c>
      <c r="F13" s="4">
        <v>52</v>
      </c>
      <c r="G13" s="4"/>
      <c r="J13" s="5"/>
      <c r="K13" s="4"/>
      <c r="L13" s="4"/>
      <c r="M13" s="2" t="s">
        <v>54</v>
      </c>
      <c r="N13" s="4">
        <v>13</v>
      </c>
      <c r="O13" s="4"/>
      <c r="P13" s="2"/>
      <c r="Q13" s="4"/>
      <c r="R13" s="4"/>
      <c r="S13" s="5"/>
    </row>
    <row r="14" spans="1:20" x14ac:dyDescent="0.5">
      <c r="A14" s="3"/>
      <c r="B14" s="2" t="s">
        <v>257</v>
      </c>
      <c r="C14" s="4"/>
      <c r="D14" s="4"/>
      <c r="E14" s="2" t="s">
        <v>14</v>
      </c>
      <c r="F14" s="4">
        <v>13</v>
      </c>
      <c r="G14" s="4"/>
      <c r="J14" s="5"/>
      <c r="K14" s="4"/>
      <c r="L14" s="4"/>
      <c r="M14" s="2"/>
      <c r="N14" s="4"/>
      <c r="O14" s="4"/>
      <c r="P14" s="2"/>
      <c r="Q14" s="4"/>
      <c r="R14" s="4"/>
      <c r="S14" s="5"/>
      <c r="T14">
        <f>SUM(T8:T11)</f>
        <v>560</v>
      </c>
    </row>
    <row r="15" spans="1:20" x14ac:dyDescent="0.5">
      <c r="A15" s="3"/>
      <c r="B15" s="2" t="s">
        <v>258</v>
      </c>
      <c r="C15" s="4"/>
      <c r="D15" s="4"/>
      <c r="E15" s="2" t="s">
        <v>56</v>
      </c>
      <c r="F15" s="4">
        <v>100</v>
      </c>
      <c r="G15" s="4"/>
      <c r="H15" s="2"/>
      <c r="I15" s="4"/>
      <c r="J15" s="5"/>
      <c r="K15" s="4"/>
      <c r="L15" s="4"/>
      <c r="M15" s="2"/>
      <c r="N15" s="4"/>
      <c r="O15" s="4"/>
      <c r="P15" s="2"/>
      <c r="Q15" s="4"/>
      <c r="R15" s="4"/>
      <c r="S15" s="5"/>
    </row>
    <row r="16" spans="1:20" x14ac:dyDescent="0.5">
      <c r="A16" s="3"/>
      <c r="B16" s="2" t="s">
        <v>260</v>
      </c>
      <c r="C16" s="4">
        <v>247</v>
      </c>
      <c r="D16" s="4"/>
      <c r="E16" s="2" t="s">
        <v>222</v>
      </c>
      <c r="F16" s="4">
        <v>131</v>
      </c>
      <c r="G16" s="4"/>
      <c r="H16" s="4"/>
      <c r="I16" s="4"/>
      <c r="J16" s="5"/>
      <c r="K16" s="4"/>
      <c r="L16" s="4"/>
      <c r="M16" s="2"/>
      <c r="N16" s="4"/>
      <c r="O16" s="4"/>
      <c r="P16" s="4"/>
      <c r="Q16" s="4"/>
      <c r="R16" s="4"/>
      <c r="S16" s="5"/>
    </row>
    <row r="17" spans="1:19" x14ac:dyDescent="0.5">
      <c r="A17" s="3"/>
      <c r="B17" s="2" t="s">
        <v>262</v>
      </c>
      <c r="C17" s="4"/>
      <c r="D17" s="4"/>
      <c r="E17" s="2"/>
      <c r="F17" s="4"/>
      <c r="G17" s="4"/>
      <c r="H17" s="4"/>
      <c r="I17" s="4"/>
      <c r="J17" s="5"/>
      <c r="K17" s="4"/>
      <c r="L17" s="4"/>
      <c r="M17" s="2"/>
      <c r="N17" s="4"/>
      <c r="O17" s="4"/>
      <c r="P17" s="4"/>
      <c r="Q17" s="4"/>
      <c r="R17" s="4"/>
      <c r="S17" s="5"/>
    </row>
    <row r="18" spans="1:19" x14ac:dyDescent="0.5">
      <c r="A18" s="3"/>
      <c r="B18" s="2" t="s">
        <v>261</v>
      </c>
      <c r="C18" s="4"/>
      <c r="D18" s="4"/>
      <c r="E18" s="2"/>
      <c r="F18" s="4"/>
      <c r="G18" s="4"/>
      <c r="H18" s="4"/>
      <c r="I18" s="4"/>
      <c r="J18" s="5"/>
      <c r="K18" s="4"/>
      <c r="L18" s="4"/>
      <c r="M18" s="2"/>
      <c r="N18" s="4"/>
      <c r="O18" s="4"/>
      <c r="P18" s="4"/>
      <c r="Q18" s="4"/>
      <c r="R18" s="4"/>
      <c r="S18" s="5"/>
    </row>
    <row r="19" spans="1:19" x14ac:dyDescent="0.5">
      <c r="A19" s="3"/>
      <c r="B19" s="4"/>
      <c r="C19" s="4"/>
      <c r="D19" s="4"/>
      <c r="E19" s="2"/>
      <c r="F19" s="4"/>
      <c r="G19" s="4"/>
      <c r="H19" s="4"/>
      <c r="I19" s="4"/>
      <c r="J19" s="5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5">
      <c r="A20" s="3"/>
      <c r="B20" s="4"/>
      <c r="C20" s="4"/>
      <c r="D20" s="4"/>
      <c r="E20" s="4"/>
      <c r="F20" s="4"/>
      <c r="G20" s="4"/>
      <c r="H20" s="4"/>
      <c r="I20" s="4"/>
      <c r="J20" s="5"/>
      <c r="K20" s="4"/>
      <c r="L20" s="4"/>
      <c r="M20" s="4"/>
      <c r="N20" s="4"/>
      <c r="O20" s="4"/>
      <c r="P20" s="4"/>
      <c r="Q20" s="4"/>
      <c r="R20" s="4"/>
      <c r="S20" s="5"/>
    </row>
    <row r="21" spans="1:19" x14ac:dyDescent="0.5">
      <c r="A21" s="3"/>
      <c r="B21" s="4"/>
      <c r="C21" s="4"/>
      <c r="D21" s="4"/>
      <c r="G21" s="4"/>
      <c r="H21" s="4"/>
      <c r="I21" s="4"/>
      <c r="J21" s="5"/>
      <c r="K21" s="4"/>
      <c r="L21" s="4"/>
      <c r="M21" s="4"/>
      <c r="N21" s="4"/>
      <c r="O21" s="4"/>
      <c r="P21" s="4"/>
      <c r="Q21" s="4"/>
      <c r="R21" s="4"/>
      <c r="S21" s="5"/>
    </row>
    <row r="22" spans="1:19" x14ac:dyDescent="0.5">
      <c r="A22" s="3"/>
      <c r="B22" s="7" t="s">
        <v>4</v>
      </c>
      <c r="C22" s="4">
        <f>SUM(C7:C19)</f>
        <v>2186</v>
      </c>
      <c r="D22" s="4"/>
      <c r="E22" s="4"/>
      <c r="F22" s="4">
        <f>SUM(F7:F20)+150</f>
        <v>3061</v>
      </c>
      <c r="G22" s="4"/>
      <c r="H22" s="4"/>
      <c r="I22" s="4">
        <f>SUM(I7:I19)</f>
        <v>0</v>
      </c>
      <c r="J22" s="5"/>
      <c r="K22" s="4"/>
      <c r="L22" s="4"/>
      <c r="M22" s="4"/>
      <c r="N22" s="4">
        <f>SUM(N7:N19)</f>
        <v>976</v>
      </c>
      <c r="O22" s="4"/>
      <c r="P22" s="4"/>
      <c r="Q22" s="4">
        <f>SUM(Q7:Q18)</f>
        <v>0</v>
      </c>
      <c r="R22" s="4"/>
      <c r="S22" s="5"/>
    </row>
    <row r="23" spans="1:19" x14ac:dyDescent="0.5">
      <c r="A23" s="3"/>
      <c r="B23" s="4"/>
      <c r="C23" s="4"/>
      <c r="D23" s="4"/>
      <c r="E23" s="4"/>
      <c r="F23" s="4"/>
      <c r="G23" s="4"/>
      <c r="H23" s="4"/>
      <c r="I23" s="4"/>
      <c r="J23" s="5"/>
      <c r="K23" s="4"/>
      <c r="L23" s="4"/>
      <c r="M23" s="4"/>
      <c r="N23" s="4"/>
      <c r="O23" s="4"/>
      <c r="P23" s="4"/>
      <c r="Q23" s="4"/>
      <c r="R23" s="4"/>
      <c r="S23" s="5"/>
    </row>
    <row r="24" spans="1:19" x14ac:dyDescent="0.5">
      <c r="A24" s="3"/>
      <c r="B24" s="4"/>
      <c r="C24" s="4"/>
      <c r="D24" s="4"/>
      <c r="E24" s="4"/>
      <c r="F24" s="4"/>
      <c r="G24" s="4"/>
      <c r="H24" s="4"/>
      <c r="I24" s="4"/>
      <c r="J24" s="5"/>
      <c r="K24" s="4"/>
      <c r="L24" s="4"/>
      <c r="M24" s="4"/>
      <c r="N24" s="4"/>
      <c r="O24" s="4"/>
      <c r="P24" s="4"/>
      <c r="Q24" s="4"/>
      <c r="R24" s="4"/>
      <c r="S24" s="5"/>
    </row>
    <row r="25" spans="1:19" x14ac:dyDescent="0.5">
      <c r="A25" s="3"/>
      <c r="B25" s="4"/>
      <c r="C25" s="4"/>
      <c r="D25" s="4"/>
      <c r="E25" s="4"/>
      <c r="F25" s="4"/>
      <c r="G25" s="4"/>
      <c r="H25" s="4"/>
      <c r="I25" s="4"/>
      <c r="J25" s="5"/>
      <c r="K25" s="4"/>
      <c r="L25" s="4"/>
      <c r="M25" s="4"/>
      <c r="N25" s="4"/>
      <c r="O25" s="4"/>
      <c r="P25" s="4"/>
      <c r="Q25" s="4"/>
      <c r="R25" s="4"/>
      <c r="S25" s="5"/>
    </row>
    <row r="26" spans="1:19" x14ac:dyDescent="0.5">
      <c r="A26" s="3"/>
      <c r="B26" s="4"/>
      <c r="C26" s="7" t="s">
        <v>8</v>
      </c>
      <c r="D26" s="4">
        <f>C22+F22+I22</f>
        <v>5247</v>
      </c>
      <c r="E26" s="4"/>
      <c r="F26" s="4"/>
      <c r="G26" s="4"/>
      <c r="H26" s="4"/>
      <c r="I26" s="4"/>
      <c r="J26" s="5"/>
      <c r="K26" s="7" t="s">
        <v>4</v>
      </c>
      <c r="L26" s="4"/>
      <c r="M26" s="4"/>
      <c r="N26" s="4"/>
      <c r="O26" s="4"/>
      <c r="P26" s="4">
        <f>N22+Q22</f>
        <v>976</v>
      </c>
      <c r="Q26" s="4"/>
      <c r="R26" s="4"/>
      <c r="S26" s="5"/>
    </row>
    <row r="27" spans="1:19" x14ac:dyDescent="0.5">
      <c r="A27" s="3"/>
      <c r="B27" s="4"/>
      <c r="C27" s="4"/>
      <c r="D27" s="4"/>
      <c r="E27" s="4"/>
      <c r="F27" s="4"/>
      <c r="G27" s="4"/>
      <c r="H27" s="4"/>
      <c r="I27" s="4"/>
      <c r="J27" s="5"/>
      <c r="K27" s="4"/>
      <c r="L27" s="4"/>
      <c r="M27" s="4"/>
      <c r="N27" s="4"/>
      <c r="O27" s="4"/>
      <c r="P27" s="4"/>
      <c r="Q27" s="4"/>
      <c r="R27" s="4"/>
      <c r="S27" s="5"/>
    </row>
    <row r="28" spans="1:19" x14ac:dyDescent="0.5">
      <c r="A28" s="3"/>
      <c r="B28" s="4"/>
      <c r="C28" s="4"/>
      <c r="D28" s="4"/>
      <c r="E28" s="4"/>
      <c r="F28" s="4"/>
      <c r="G28" s="4"/>
      <c r="H28" s="4"/>
      <c r="I28" s="4"/>
      <c r="J28" s="5"/>
      <c r="K28" s="4"/>
      <c r="L28" s="4"/>
      <c r="M28" s="4"/>
      <c r="N28" s="4"/>
      <c r="O28" s="4"/>
      <c r="P28" s="4"/>
      <c r="Q28" s="4"/>
      <c r="R28" s="4"/>
      <c r="S28" s="5"/>
    </row>
    <row r="29" spans="1:19" x14ac:dyDescent="0.5">
      <c r="A29" s="3"/>
      <c r="B29" s="7" t="s">
        <v>74</v>
      </c>
      <c r="C29" s="4">
        <f>ABS(G4-D26)</f>
        <v>5247</v>
      </c>
      <c r="D29" s="4"/>
      <c r="E29" s="4"/>
      <c r="F29" s="4"/>
      <c r="G29" s="4"/>
      <c r="H29" s="4"/>
      <c r="I29" s="4"/>
      <c r="J29" s="5"/>
      <c r="K29" s="7" t="s">
        <v>21</v>
      </c>
      <c r="L29" s="4">
        <f>O4-P26</f>
        <v>504</v>
      </c>
      <c r="M29" s="4"/>
      <c r="N29" s="4"/>
      <c r="O29" s="4"/>
      <c r="P29" s="4"/>
      <c r="Q29" s="4"/>
      <c r="R29" s="4"/>
      <c r="S29" s="5"/>
    </row>
    <row r="30" spans="1:19" x14ac:dyDescent="0.5">
      <c r="A30" s="3"/>
      <c r="B30" s="4"/>
      <c r="C30" s="4"/>
      <c r="D30" s="4"/>
      <c r="E30" s="4"/>
      <c r="F30" s="4"/>
      <c r="G30" s="4"/>
      <c r="H30" s="4"/>
      <c r="I30" s="4"/>
      <c r="J30" s="5"/>
      <c r="K30" s="4"/>
      <c r="L30" s="4"/>
      <c r="M30" s="4"/>
      <c r="N30" s="4"/>
      <c r="O30" s="4"/>
      <c r="P30" s="4"/>
      <c r="Q30" s="4"/>
      <c r="R30" s="4"/>
      <c r="S30" s="5"/>
    </row>
    <row r="31" spans="1:19" x14ac:dyDescent="0.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 x14ac:dyDescent="0.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5">
      <c r="A34" s="2"/>
      <c r="B34" s="7" t="s">
        <v>25</v>
      </c>
      <c r="C34" s="4">
        <f>H4-D26</f>
        <v>853</v>
      </c>
      <c r="D34" s="4"/>
      <c r="E34" s="4"/>
      <c r="F34" s="4"/>
      <c r="G34" s="4"/>
      <c r="H34" s="4"/>
      <c r="I34" s="4"/>
      <c r="J34" s="4">
        <f>C29+L29</f>
        <v>5751</v>
      </c>
      <c r="K34" s="4"/>
      <c r="L34" s="4"/>
      <c r="M34" s="4"/>
      <c r="N34" s="4"/>
      <c r="O34" s="4"/>
      <c r="P34" s="4"/>
      <c r="Q34" s="4"/>
      <c r="R34" s="4"/>
      <c r="S34" s="4"/>
    </row>
    <row r="35" spans="1:19" x14ac:dyDescent="0.5">
      <c r="A35" s="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x14ac:dyDescent="0.5">
      <c r="E36">
        <f>5.2+13.8+10.96+13+13+21+6.99+47+62+12+68+40</f>
        <v>312.95</v>
      </c>
    </row>
    <row r="39" spans="1:19" x14ac:dyDescent="0.5">
      <c r="I39" t="s">
        <v>208</v>
      </c>
      <c r="J39">
        <v>39</v>
      </c>
      <c r="L39" t="s">
        <v>214</v>
      </c>
      <c r="M39">
        <f>SUM(J39:J58)</f>
        <v>22002</v>
      </c>
    </row>
    <row r="40" spans="1:19" ht="16.5" x14ac:dyDescent="0.6">
      <c r="E40" s="13" t="s">
        <v>196</v>
      </c>
      <c r="F40">
        <v>500</v>
      </c>
      <c r="I40" t="s">
        <v>209</v>
      </c>
      <c r="J40">
        <v>100</v>
      </c>
    </row>
    <row r="41" spans="1:19" ht="16.5" x14ac:dyDescent="0.6">
      <c r="E41" s="13" t="s">
        <v>197</v>
      </c>
      <c r="F41">
        <v>800</v>
      </c>
      <c r="I41" t="s">
        <v>210</v>
      </c>
      <c r="J41">
        <v>21</v>
      </c>
    </row>
    <row r="42" spans="1:19" ht="16.5" x14ac:dyDescent="0.6">
      <c r="E42" s="13" t="s">
        <v>198</v>
      </c>
      <c r="F42">
        <v>200</v>
      </c>
      <c r="I42" t="s">
        <v>211</v>
      </c>
      <c r="J42">
        <v>20</v>
      </c>
    </row>
    <row r="43" spans="1:19" ht="16.5" x14ac:dyDescent="0.6">
      <c r="E43" s="13" t="s">
        <v>199</v>
      </c>
      <c r="F43">
        <v>2000</v>
      </c>
      <c r="I43" t="s">
        <v>212</v>
      </c>
      <c r="J43">
        <v>20</v>
      </c>
    </row>
    <row r="44" spans="1:19" ht="16.5" x14ac:dyDescent="0.6">
      <c r="E44" s="13" t="s">
        <v>205</v>
      </c>
      <c r="F44">
        <v>500</v>
      </c>
      <c r="I44" t="s">
        <v>212</v>
      </c>
      <c r="J44">
        <v>27</v>
      </c>
    </row>
    <row r="45" spans="1:19" ht="16.5" x14ac:dyDescent="0.6">
      <c r="E45" s="13" t="s">
        <v>200</v>
      </c>
      <c r="F45">
        <v>100</v>
      </c>
      <c r="I45" t="s">
        <v>213</v>
      </c>
      <c r="J45">
        <v>67</v>
      </c>
    </row>
    <row r="46" spans="1:19" ht="16.5" x14ac:dyDescent="0.6">
      <c r="E46" s="13" t="s">
        <v>201</v>
      </c>
      <c r="F46">
        <v>67</v>
      </c>
      <c r="I46" t="s">
        <v>22</v>
      </c>
      <c r="J46">
        <v>28</v>
      </c>
    </row>
    <row r="47" spans="1:19" ht="16.5" x14ac:dyDescent="0.6">
      <c r="E47" s="13" t="s">
        <v>202</v>
      </c>
      <c r="F47">
        <v>50</v>
      </c>
      <c r="I47" t="s">
        <v>215</v>
      </c>
      <c r="J47">
        <v>31</v>
      </c>
    </row>
    <row r="48" spans="1:19" ht="16.5" x14ac:dyDescent="0.6">
      <c r="E48" s="13" t="s">
        <v>203</v>
      </c>
      <c r="F48">
        <v>70</v>
      </c>
      <c r="I48" t="s">
        <v>216</v>
      </c>
      <c r="J48">
        <v>32</v>
      </c>
    </row>
    <row r="49" spans="2:10" ht="16.5" x14ac:dyDescent="0.6">
      <c r="E49" s="13" t="s">
        <v>204</v>
      </c>
      <c r="F49">
        <v>300</v>
      </c>
      <c r="I49" t="s">
        <v>217</v>
      </c>
      <c r="J49">
        <v>46</v>
      </c>
    </row>
    <row r="50" spans="2:10" ht="16.5" x14ac:dyDescent="0.6">
      <c r="E50" s="13" t="s">
        <v>206</v>
      </c>
      <c r="F50">
        <v>100</v>
      </c>
      <c r="I50" t="s">
        <v>24</v>
      </c>
      <c r="J50">
        <v>20914</v>
      </c>
    </row>
    <row r="51" spans="2:10" x14ac:dyDescent="0.5">
      <c r="I51" t="s">
        <v>219</v>
      </c>
      <c r="J51">
        <v>357</v>
      </c>
    </row>
    <row r="52" spans="2:10" x14ac:dyDescent="0.5">
      <c r="J52">
        <v>300</v>
      </c>
    </row>
    <row r="54" spans="2:10" x14ac:dyDescent="0.5">
      <c r="F54">
        <f>SUM(F40:F50)</f>
        <v>4687</v>
      </c>
    </row>
    <row r="62" spans="2:10" x14ac:dyDescent="0.5">
      <c r="B62" s="7" t="s">
        <v>2</v>
      </c>
      <c r="C62" s="4">
        <v>1900</v>
      </c>
    </row>
    <row r="98" spans="2:16" x14ac:dyDescent="0.5">
      <c r="B98">
        <v>3000</v>
      </c>
    </row>
    <row r="99" spans="2:16" x14ac:dyDescent="0.5">
      <c r="B99">
        <v>2500</v>
      </c>
      <c r="J99">
        <v>3000</v>
      </c>
    </row>
    <row r="100" spans="2:16" x14ac:dyDescent="0.5">
      <c r="B100">
        <v>2500</v>
      </c>
      <c r="J100">
        <v>600</v>
      </c>
    </row>
    <row r="101" spans="2:16" x14ac:dyDescent="0.5">
      <c r="B101">
        <v>800</v>
      </c>
    </row>
    <row r="102" spans="2:16" x14ac:dyDescent="0.5">
      <c r="B102">
        <v>700</v>
      </c>
    </row>
    <row r="106" spans="2:16" x14ac:dyDescent="0.5">
      <c r="B106">
        <f>SUM(B98:B102)</f>
        <v>9500</v>
      </c>
      <c r="D106">
        <f>B106-7000</f>
        <v>2500</v>
      </c>
    </row>
    <row r="107" spans="2:16" x14ac:dyDescent="0.5">
      <c r="P107">
        <v>126</v>
      </c>
    </row>
    <row r="108" spans="2:16" x14ac:dyDescent="0.5">
      <c r="P108" s="4">
        <v>12</v>
      </c>
    </row>
    <row r="109" spans="2:16" x14ac:dyDescent="0.5">
      <c r="P109" s="4">
        <v>10</v>
      </c>
    </row>
    <row r="110" spans="2:16" x14ac:dyDescent="0.5">
      <c r="P110" s="4">
        <v>20</v>
      </c>
    </row>
    <row r="111" spans="2:16" x14ac:dyDescent="0.5">
      <c r="P111" s="4">
        <v>20</v>
      </c>
    </row>
    <row r="112" spans="2:16" x14ac:dyDescent="0.5">
      <c r="P112" s="4">
        <v>20</v>
      </c>
    </row>
    <row r="113" spans="5:16" x14ac:dyDescent="0.5">
      <c r="P113" s="4">
        <v>3.99</v>
      </c>
    </row>
    <row r="114" spans="5:16" x14ac:dyDescent="0.5">
      <c r="P114" s="4">
        <v>100</v>
      </c>
    </row>
    <row r="115" spans="5:16" x14ac:dyDescent="0.5">
      <c r="E115">
        <v>1400</v>
      </c>
      <c r="P115" s="4">
        <v>75</v>
      </c>
    </row>
    <row r="116" spans="5:16" x14ac:dyDescent="0.5">
      <c r="E116">
        <v>1300</v>
      </c>
      <c r="P116" s="4">
        <v>60</v>
      </c>
    </row>
    <row r="117" spans="5:16" x14ac:dyDescent="0.5">
      <c r="E117">
        <v>950</v>
      </c>
      <c r="P117" s="4"/>
    </row>
    <row r="118" spans="5:16" x14ac:dyDescent="0.5">
      <c r="P118" s="4">
        <v>70</v>
      </c>
    </row>
    <row r="121" spans="5:16" x14ac:dyDescent="0.5">
      <c r="E121">
        <f>SUM(E115:E119)</f>
        <v>3650</v>
      </c>
    </row>
    <row r="125" spans="5:16" x14ac:dyDescent="0.5">
      <c r="P125">
        <f>SUM(P105:P122)</f>
        <v>516.99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1A72C-BABD-429C-BCAE-34A776D6F4E5}">
  <sheetPr codeName="Feuil17"/>
  <dimension ref="A1:T125"/>
  <sheetViews>
    <sheetView topLeftCell="A4" workbookViewId="0">
      <selection activeCell="F9" sqref="F9"/>
    </sheetView>
  </sheetViews>
  <sheetFormatPr baseColWidth="10" defaultRowHeight="15.75" x14ac:dyDescent="0.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0" x14ac:dyDescent="0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x14ac:dyDescent="0.5">
      <c r="A3" s="3"/>
      <c r="B3" s="2"/>
      <c r="C3" s="4"/>
      <c r="D3" s="4"/>
      <c r="E3" s="4"/>
      <c r="F3" s="4"/>
      <c r="G3" s="4"/>
      <c r="H3" s="4" t="s">
        <v>59</v>
      </c>
      <c r="I3" s="4" t="s">
        <v>60</v>
      </c>
      <c r="J3" s="5"/>
      <c r="K3" s="4"/>
      <c r="L3" s="4"/>
      <c r="M3" s="4"/>
      <c r="N3" s="4"/>
      <c r="O3" s="4"/>
      <c r="P3" s="4"/>
      <c r="Q3" s="4"/>
      <c r="R3" s="4"/>
      <c r="S3" s="5"/>
    </row>
    <row r="4" spans="1:20" x14ac:dyDescent="0.5">
      <c r="A4" s="3"/>
      <c r="B4" s="2"/>
      <c r="C4" s="4"/>
      <c r="D4" s="4"/>
      <c r="E4" s="6" t="s">
        <v>19</v>
      </c>
      <c r="F4" s="7" t="s">
        <v>5</v>
      </c>
      <c r="G4" s="4"/>
      <c r="H4" s="4">
        <f>6500+1000</f>
        <v>7500</v>
      </c>
      <c r="I4" s="4"/>
      <c r="J4" s="5"/>
      <c r="K4" s="4"/>
      <c r="L4" s="4"/>
      <c r="M4" s="6" t="s">
        <v>20</v>
      </c>
      <c r="N4" s="7" t="s">
        <v>5</v>
      </c>
      <c r="O4" s="4">
        <v>1480</v>
      </c>
      <c r="P4" s="4"/>
      <c r="Q4" s="4"/>
      <c r="R4" s="4"/>
      <c r="S4" s="5"/>
    </row>
    <row r="5" spans="1:20" x14ac:dyDescent="0.5">
      <c r="A5" s="3"/>
      <c r="B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5"/>
    </row>
    <row r="6" spans="1:20" x14ac:dyDescent="0.5">
      <c r="A6" s="3"/>
      <c r="B6" s="2"/>
      <c r="C6" s="7" t="s">
        <v>16</v>
      </c>
      <c r="D6" s="8"/>
      <c r="E6" s="7" t="s">
        <v>17</v>
      </c>
      <c r="F6" s="8"/>
      <c r="G6" s="7"/>
      <c r="H6" s="7" t="s">
        <v>18</v>
      </c>
      <c r="I6" s="7"/>
      <c r="J6" s="5"/>
      <c r="K6" s="7" t="s">
        <v>16</v>
      </c>
      <c r="L6" s="8"/>
      <c r="M6" s="7" t="s">
        <v>17</v>
      </c>
      <c r="N6" s="8"/>
      <c r="O6" s="7"/>
      <c r="P6" s="7" t="s">
        <v>18</v>
      </c>
      <c r="Q6" s="7"/>
      <c r="R6" s="4"/>
      <c r="S6" s="5"/>
    </row>
    <row r="7" spans="1:20" x14ac:dyDescent="0.5">
      <c r="A7" s="3"/>
      <c r="B7" s="2" t="s">
        <v>46</v>
      </c>
      <c r="C7" s="4"/>
      <c r="D7" s="4"/>
      <c r="E7" s="2" t="s">
        <v>0</v>
      </c>
      <c r="F7" s="4">
        <v>1012</v>
      </c>
      <c r="G7" s="4"/>
      <c r="H7" s="2"/>
      <c r="I7" s="4"/>
      <c r="J7" s="5"/>
      <c r="K7" s="4"/>
      <c r="L7" s="4"/>
      <c r="M7" s="2" t="s">
        <v>26</v>
      </c>
      <c r="N7" s="4">
        <v>150</v>
      </c>
      <c r="O7" s="4"/>
      <c r="P7" s="2"/>
      <c r="Q7" s="4"/>
      <c r="R7" s="4"/>
      <c r="S7" s="5"/>
    </row>
    <row r="8" spans="1:20" x14ac:dyDescent="0.5">
      <c r="A8" s="3"/>
      <c r="B8" s="2"/>
      <c r="C8" s="4" t="s">
        <v>63</v>
      </c>
      <c r="D8" s="4"/>
      <c r="E8" s="2" t="s">
        <v>220</v>
      </c>
      <c r="F8" s="4">
        <v>1000</v>
      </c>
      <c r="G8" s="4"/>
      <c r="H8" s="2"/>
      <c r="I8" s="4"/>
      <c r="J8" s="5"/>
      <c r="K8" s="4"/>
      <c r="L8" s="4"/>
      <c r="M8" s="2" t="s">
        <v>49</v>
      </c>
      <c r="N8" s="4">
        <v>200</v>
      </c>
      <c r="O8" s="4"/>
      <c r="P8" s="2"/>
      <c r="Q8" s="4"/>
      <c r="R8" s="4"/>
      <c r="S8" s="5"/>
      <c r="T8">
        <v>50</v>
      </c>
    </row>
    <row r="9" spans="1:20" x14ac:dyDescent="0.5">
      <c r="A9" s="3"/>
      <c r="B9" s="2" t="s">
        <v>15</v>
      </c>
      <c r="C9" s="4">
        <v>400</v>
      </c>
      <c r="D9" s="4"/>
      <c r="E9" s="2" t="s">
        <v>235</v>
      </c>
      <c r="F9" s="4">
        <v>96</v>
      </c>
      <c r="G9" s="4"/>
      <c r="H9" s="2"/>
      <c r="I9" s="4"/>
      <c r="J9" s="5"/>
      <c r="K9" s="4"/>
      <c r="L9" s="4"/>
      <c r="M9" s="2" t="s">
        <v>50</v>
      </c>
      <c r="N9" s="4">
        <v>200</v>
      </c>
      <c r="O9" s="4"/>
      <c r="P9" s="2"/>
      <c r="Q9" s="4"/>
      <c r="R9" s="4"/>
      <c r="S9" s="5"/>
      <c r="T9">
        <v>200</v>
      </c>
    </row>
    <row r="10" spans="1:20" x14ac:dyDescent="0.5">
      <c r="A10" s="3"/>
      <c r="B10" s="2" t="s">
        <v>221</v>
      </c>
      <c r="C10" s="4">
        <v>200</v>
      </c>
      <c r="D10" s="4"/>
      <c r="E10" s="2" t="s">
        <v>187</v>
      </c>
      <c r="F10" s="4">
        <v>50</v>
      </c>
      <c r="G10" s="4"/>
      <c r="H10" s="2"/>
      <c r="I10" s="4"/>
      <c r="J10" s="5"/>
      <c r="K10" s="4"/>
      <c r="L10" s="4"/>
      <c r="M10" s="2" t="s">
        <v>51</v>
      </c>
      <c r="N10" s="4">
        <v>300</v>
      </c>
      <c r="O10" s="4"/>
      <c r="P10" s="2"/>
      <c r="Q10" s="4"/>
      <c r="R10" s="4"/>
      <c r="S10" s="5"/>
      <c r="T10">
        <v>150</v>
      </c>
    </row>
    <row r="11" spans="1:20" x14ac:dyDescent="0.5">
      <c r="A11" s="3"/>
      <c r="B11" s="2" t="s">
        <v>195</v>
      </c>
      <c r="C11" s="4">
        <v>39</v>
      </c>
      <c r="D11" s="4"/>
      <c r="E11" s="2" t="s">
        <v>1</v>
      </c>
      <c r="F11" s="4">
        <v>157</v>
      </c>
      <c r="G11" s="4"/>
      <c r="J11" s="5"/>
      <c r="K11" s="4"/>
      <c r="L11" s="4"/>
      <c r="M11" s="2" t="s">
        <v>52</v>
      </c>
      <c r="N11" s="4">
        <v>100</v>
      </c>
      <c r="O11" s="4"/>
      <c r="P11" s="2"/>
      <c r="Q11" s="4"/>
      <c r="R11" s="4"/>
      <c r="S11" s="5"/>
      <c r="T11">
        <v>160</v>
      </c>
    </row>
    <row r="12" spans="1:20" x14ac:dyDescent="0.5">
      <c r="A12" s="3"/>
      <c r="B12" s="2" t="s">
        <v>223</v>
      </c>
      <c r="C12" s="4">
        <v>1500</v>
      </c>
      <c r="D12" s="4"/>
      <c r="E12" s="2" t="s">
        <v>9</v>
      </c>
      <c r="F12" s="4">
        <v>300</v>
      </c>
      <c r="G12" s="4"/>
      <c r="J12" s="5"/>
      <c r="K12" s="4"/>
      <c r="L12" s="4"/>
      <c r="M12" s="2" t="s">
        <v>53</v>
      </c>
      <c r="N12" s="4">
        <v>13</v>
      </c>
      <c r="O12" s="4"/>
      <c r="P12" s="2"/>
      <c r="Q12" s="4"/>
      <c r="R12" s="4"/>
      <c r="S12" s="5"/>
    </row>
    <row r="13" spans="1:20" x14ac:dyDescent="0.5">
      <c r="A13" s="3"/>
      <c r="B13" s="2" t="s">
        <v>256</v>
      </c>
      <c r="C13" s="4"/>
      <c r="D13" s="4"/>
      <c r="E13" s="2" t="s">
        <v>235</v>
      </c>
      <c r="F13" s="4">
        <v>52</v>
      </c>
      <c r="G13" s="4"/>
      <c r="J13" s="5"/>
      <c r="K13" s="4"/>
      <c r="L13" s="4"/>
      <c r="M13" s="2" t="s">
        <v>54</v>
      </c>
      <c r="N13" s="4">
        <v>13</v>
      </c>
      <c r="O13" s="4"/>
      <c r="P13" s="2"/>
      <c r="Q13" s="4"/>
      <c r="R13" s="4"/>
      <c r="S13" s="5"/>
    </row>
    <row r="14" spans="1:20" x14ac:dyDescent="0.5">
      <c r="A14" s="3"/>
      <c r="B14" s="2" t="s">
        <v>257</v>
      </c>
      <c r="C14" s="4"/>
      <c r="D14" s="4"/>
      <c r="E14" s="2" t="s">
        <v>14</v>
      </c>
      <c r="F14" s="4">
        <v>13</v>
      </c>
      <c r="G14" s="4"/>
      <c r="J14" s="5"/>
      <c r="K14" s="4"/>
      <c r="L14" s="4"/>
      <c r="M14" s="2"/>
      <c r="N14" s="4"/>
      <c r="O14" s="4"/>
      <c r="P14" s="2"/>
      <c r="Q14" s="4"/>
      <c r="R14" s="4"/>
      <c r="S14" s="5"/>
      <c r="T14">
        <f>SUM(T8:T11)</f>
        <v>560</v>
      </c>
    </row>
    <row r="15" spans="1:20" x14ac:dyDescent="0.5">
      <c r="A15" s="3"/>
      <c r="B15" s="2" t="s">
        <v>258</v>
      </c>
      <c r="C15" s="4"/>
      <c r="D15" s="4"/>
      <c r="E15" s="2" t="s">
        <v>56</v>
      </c>
      <c r="F15" s="4">
        <v>100</v>
      </c>
      <c r="G15" s="4"/>
      <c r="H15" s="2"/>
      <c r="I15" s="4"/>
      <c r="J15" s="5"/>
      <c r="K15" s="4"/>
      <c r="L15" s="4"/>
      <c r="M15" s="2"/>
      <c r="N15" s="4"/>
      <c r="O15" s="4"/>
      <c r="P15" s="2"/>
      <c r="Q15" s="4"/>
      <c r="R15" s="4"/>
      <c r="S15" s="5"/>
    </row>
    <row r="16" spans="1:20" x14ac:dyDescent="0.5">
      <c r="A16" s="3"/>
      <c r="B16" s="2" t="s">
        <v>260</v>
      </c>
      <c r="C16" s="4">
        <v>247</v>
      </c>
      <c r="D16" s="4"/>
      <c r="E16" s="2" t="s">
        <v>222</v>
      </c>
      <c r="F16" s="4">
        <v>131</v>
      </c>
      <c r="G16" s="4"/>
      <c r="H16" s="4"/>
      <c r="I16" s="4"/>
      <c r="J16" s="5"/>
      <c r="K16" s="4"/>
      <c r="L16" s="4"/>
      <c r="M16" s="2"/>
      <c r="N16" s="4"/>
      <c r="O16" s="4"/>
      <c r="P16" s="4"/>
      <c r="Q16" s="4"/>
      <c r="R16" s="4"/>
      <c r="S16" s="5"/>
    </row>
    <row r="17" spans="1:19" x14ac:dyDescent="0.5">
      <c r="A17" s="3"/>
      <c r="B17" s="2" t="s">
        <v>150</v>
      </c>
      <c r="C17" s="4">
        <v>1500</v>
      </c>
      <c r="D17" s="4"/>
      <c r="E17" s="2"/>
      <c r="F17" s="4"/>
      <c r="G17" s="4"/>
      <c r="H17" s="4"/>
      <c r="I17" s="4"/>
      <c r="J17" s="5"/>
      <c r="K17" s="4"/>
      <c r="L17" s="4"/>
      <c r="M17" s="2"/>
      <c r="N17" s="4"/>
      <c r="O17" s="4"/>
      <c r="P17" s="4"/>
      <c r="Q17" s="4"/>
      <c r="R17" s="4"/>
      <c r="S17" s="5"/>
    </row>
    <row r="18" spans="1:19" x14ac:dyDescent="0.5">
      <c r="A18" s="3"/>
      <c r="B18" s="2" t="s">
        <v>261</v>
      </c>
      <c r="C18" s="4"/>
      <c r="D18" s="4"/>
      <c r="E18" s="2"/>
      <c r="F18" s="4"/>
      <c r="G18" s="4"/>
      <c r="H18" s="4"/>
      <c r="I18" s="4"/>
      <c r="J18" s="5"/>
      <c r="K18" s="4"/>
      <c r="L18" s="4"/>
      <c r="M18" s="2"/>
      <c r="N18" s="4"/>
      <c r="O18" s="4"/>
      <c r="P18" s="4"/>
      <c r="Q18" s="4"/>
      <c r="R18" s="4"/>
      <c r="S18" s="5"/>
    </row>
    <row r="19" spans="1:19" x14ac:dyDescent="0.5">
      <c r="A19" s="3"/>
      <c r="B19" s="4"/>
      <c r="C19" s="4"/>
      <c r="D19" s="4"/>
      <c r="E19" s="2"/>
      <c r="F19" s="4"/>
      <c r="G19" s="4"/>
      <c r="H19" s="4"/>
      <c r="I19" s="4"/>
      <c r="J19" s="5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5">
      <c r="A20" s="3"/>
      <c r="B20" s="4"/>
      <c r="C20" s="4"/>
      <c r="D20" s="4"/>
      <c r="E20" s="4"/>
      <c r="F20" s="4"/>
      <c r="G20" s="4"/>
      <c r="H20" s="4"/>
      <c r="I20" s="4"/>
      <c r="J20" s="5"/>
      <c r="K20" s="4"/>
      <c r="L20" s="4"/>
      <c r="M20" s="4"/>
      <c r="N20" s="4"/>
      <c r="O20" s="4"/>
      <c r="P20" s="4"/>
      <c r="Q20" s="4"/>
      <c r="R20" s="4"/>
      <c r="S20" s="5"/>
    </row>
    <row r="21" spans="1:19" x14ac:dyDescent="0.5">
      <c r="A21" s="3"/>
      <c r="B21" s="4"/>
      <c r="C21" s="4"/>
      <c r="D21" s="4"/>
      <c r="G21" s="4"/>
      <c r="H21" s="4"/>
      <c r="I21" s="4"/>
      <c r="J21" s="5"/>
      <c r="K21" s="4"/>
      <c r="L21" s="4"/>
      <c r="M21" s="4"/>
      <c r="N21" s="4"/>
      <c r="O21" s="4"/>
      <c r="P21" s="4"/>
      <c r="Q21" s="4"/>
      <c r="R21" s="4"/>
      <c r="S21" s="5"/>
    </row>
    <row r="22" spans="1:19" x14ac:dyDescent="0.5">
      <c r="A22" s="3"/>
      <c r="B22" s="7" t="s">
        <v>4</v>
      </c>
      <c r="C22" s="4">
        <f>SUM(C7:C19)</f>
        <v>3886</v>
      </c>
      <c r="D22" s="4"/>
      <c r="E22" s="4"/>
      <c r="F22" s="4">
        <f>SUM(F7:F20)+150</f>
        <v>3061</v>
      </c>
      <c r="G22" s="4"/>
      <c r="H22" s="4"/>
      <c r="I22" s="4">
        <f>SUM(I7:I19)</f>
        <v>0</v>
      </c>
      <c r="J22" s="5"/>
      <c r="K22" s="4"/>
      <c r="L22" s="4"/>
      <c r="M22" s="4"/>
      <c r="N22" s="4">
        <f>SUM(N7:N19)</f>
        <v>976</v>
      </c>
      <c r="O22" s="4"/>
      <c r="P22" s="4"/>
      <c r="Q22" s="4">
        <f>SUM(Q7:Q18)</f>
        <v>0</v>
      </c>
      <c r="R22" s="4"/>
      <c r="S22" s="5"/>
    </row>
    <row r="23" spans="1:19" x14ac:dyDescent="0.5">
      <c r="A23" s="3"/>
      <c r="B23" s="4"/>
      <c r="C23" s="4"/>
      <c r="D23" s="4"/>
      <c r="E23" s="4"/>
      <c r="F23" s="4"/>
      <c r="G23" s="4"/>
      <c r="H23" s="4"/>
      <c r="I23" s="4"/>
      <c r="J23" s="5"/>
      <c r="K23" s="4"/>
      <c r="L23" s="4"/>
      <c r="M23" s="4"/>
      <c r="N23" s="4"/>
      <c r="O23" s="4"/>
      <c r="P23" s="4"/>
      <c r="Q23" s="4"/>
      <c r="R23" s="4"/>
      <c r="S23" s="5"/>
    </row>
    <row r="24" spans="1:19" x14ac:dyDescent="0.5">
      <c r="A24" s="3"/>
      <c r="B24" s="4"/>
      <c r="C24" s="4"/>
      <c r="D24" s="4"/>
      <c r="E24" s="4"/>
      <c r="F24" s="4"/>
      <c r="G24" s="4"/>
      <c r="H24" s="4"/>
      <c r="I24" s="4"/>
      <c r="J24" s="5"/>
      <c r="K24" s="4"/>
      <c r="L24" s="4"/>
      <c r="M24" s="4"/>
      <c r="N24" s="4"/>
      <c r="O24" s="4"/>
      <c r="P24" s="4"/>
      <c r="Q24" s="4"/>
      <c r="R24" s="4"/>
      <c r="S24" s="5"/>
    </row>
    <row r="25" spans="1:19" x14ac:dyDescent="0.5">
      <c r="A25" s="3"/>
      <c r="B25" s="4"/>
      <c r="C25" s="4"/>
      <c r="D25" s="4"/>
      <c r="E25" s="4"/>
      <c r="F25" s="4"/>
      <c r="G25" s="4"/>
      <c r="H25" s="4"/>
      <c r="I25" s="4"/>
      <c r="J25" s="5"/>
      <c r="K25" s="4"/>
      <c r="L25" s="4"/>
      <c r="M25" s="4"/>
      <c r="N25" s="4"/>
      <c r="O25" s="4"/>
      <c r="P25" s="4"/>
      <c r="Q25" s="4"/>
      <c r="R25" s="4"/>
      <c r="S25" s="5"/>
    </row>
    <row r="26" spans="1:19" x14ac:dyDescent="0.5">
      <c r="A26" s="3"/>
      <c r="B26" s="4"/>
      <c r="C26" s="7" t="s">
        <v>8</v>
      </c>
      <c r="D26" s="4">
        <f>C22+F22+I22</f>
        <v>6947</v>
      </c>
      <c r="E26" s="4"/>
      <c r="F26" s="4"/>
      <c r="G26" s="4"/>
      <c r="H26" s="4"/>
      <c r="I26" s="4"/>
      <c r="J26" s="5"/>
      <c r="K26" s="7" t="s">
        <v>4</v>
      </c>
      <c r="L26" s="4"/>
      <c r="M26" s="4"/>
      <c r="N26" s="4"/>
      <c r="O26" s="4"/>
      <c r="P26" s="4">
        <f>N22+Q22</f>
        <v>976</v>
      </c>
      <c r="Q26" s="4"/>
      <c r="R26" s="4"/>
      <c r="S26" s="5"/>
    </row>
    <row r="27" spans="1:19" x14ac:dyDescent="0.5">
      <c r="A27" s="3"/>
      <c r="B27" s="4"/>
      <c r="C27" s="4"/>
      <c r="D27" s="4"/>
      <c r="E27" s="4"/>
      <c r="F27" s="4"/>
      <c r="G27" s="4"/>
      <c r="H27" s="4"/>
      <c r="I27" s="4"/>
      <c r="J27" s="5"/>
      <c r="K27" s="4"/>
      <c r="L27" s="4"/>
      <c r="M27" s="4"/>
      <c r="N27" s="4"/>
      <c r="O27" s="4"/>
      <c r="P27" s="4"/>
      <c r="Q27" s="4"/>
      <c r="R27" s="4"/>
      <c r="S27" s="5"/>
    </row>
    <row r="28" spans="1:19" x14ac:dyDescent="0.5">
      <c r="A28" s="3"/>
      <c r="B28" s="4"/>
      <c r="C28" s="4"/>
      <c r="D28" s="4"/>
      <c r="E28" s="4"/>
      <c r="F28" s="4"/>
      <c r="G28" s="4"/>
      <c r="H28" s="4"/>
      <c r="I28" s="4"/>
      <c r="J28" s="5"/>
      <c r="K28" s="4"/>
      <c r="L28" s="4"/>
      <c r="M28" s="4"/>
      <c r="N28" s="4"/>
      <c r="O28" s="4"/>
      <c r="P28" s="4"/>
      <c r="Q28" s="4"/>
      <c r="R28" s="4"/>
      <c r="S28" s="5"/>
    </row>
    <row r="29" spans="1:19" x14ac:dyDescent="0.5">
      <c r="A29" s="3"/>
      <c r="B29" s="7" t="s">
        <v>74</v>
      </c>
      <c r="C29" s="4">
        <f>ABS(G4-D26)</f>
        <v>6947</v>
      </c>
      <c r="D29" s="4"/>
      <c r="E29" s="4"/>
      <c r="F29" s="4"/>
      <c r="G29" s="4"/>
      <c r="H29" s="4"/>
      <c r="I29" s="4"/>
      <c r="J29" s="5"/>
      <c r="K29" s="7" t="s">
        <v>21</v>
      </c>
      <c r="L29" s="4">
        <f>O4-P26</f>
        <v>504</v>
      </c>
      <c r="M29" s="4"/>
      <c r="N29" s="4"/>
      <c r="O29" s="4"/>
      <c r="P29" s="4"/>
      <c r="Q29" s="4"/>
      <c r="R29" s="4"/>
      <c r="S29" s="5"/>
    </row>
    <row r="30" spans="1:19" x14ac:dyDescent="0.5">
      <c r="A30" s="3"/>
      <c r="B30" s="4"/>
      <c r="C30" s="4"/>
      <c r="D30" s="4"/>
      <c r="E30" s="4"/>
      <c r="F30" s="4"/>
      <c r="G30" s="4"/>
      <c r="H30" s="4"/>
      <c r="I30" s="4"/>
      <c r="J30" s="5"/>
      <c r="K30" s="4"/>
      <c r="L30" s="4"/>
      <c r="M30" s="4"/>
      <c r="N30" s="4"/>
      <c r="O30" s="4"/>
      <c r="P30" s="4"/>
      <c r="Q30" s="4"/>
      <c r="R30" s="4"/>
      <c r="S30" s="5"/>
    </row>
    <row r="31" spans="1:19" x14ac:dyDescent="0.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 x14ac:dyDescent="0.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5">
      <c r="A34" s="2"/>
      <c r="B34" s="7" t="s">
        <v>25</v>
      </c>
      <c r="C34" s="4">
        <f>H4-D26</f>
        <v>553</v>
      </c>
      <c r="D34" s="4"/>
      <c r="E34" s="4"/>
      <c r="F34" s="4"/>
      <c r="G34" s="4"/>
      <c r="H34" s="4"/>
      <c r="I34" s="4"/>
      <c r="J34" s="4">
        <f>C29+L29</f>
        <v>7451</v>
      </c>
      <c r="K34" s="4"/>
      <c r="L34" s="4"/>
      <c r="M34" s="4"/>
      <c r="N34" s="4"/>
      <c r="O34" s="4"/>
      <c r="P34" s="4"/>
      <c r="Q34" s="4"/>
      <c r="R34" s="4"/>
      <c r="S34" s="4"/>
    </row>
    <row r="35" spans="1:19" x14ac:dyDescent="0.5">
      <c r="A35" s="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x14ac:dyDescent="0.5">
      <c r="E36">
        <f>5.2+13.8+10.96+13+13+21+6.99+47+62+12+68+40</f>
        <v>312.95</v>
      </c>
    </row>
    <row r="39" spans="1:19" x14ac:dyDescent="0.5">
      <c r="I39" t="s">
        <v>208</v>
      </c>
      <c r="J39">
        <v>39</v>
      </c>
      <c r="L39" t="s">
        <v>214</v>
      </c>
      <c r="M39">
        <f>SUM(J39:J58)</f>
        <v>22002</v>
      </c>
    </row>
    <row r="40" spans="1:19" ht="16.5" x14ac:dyDescent="0.6">
      <c r="E40" s="13" t="s">
        <v>196</v>
      </c>
      <c r="F40">
        <v>500</v>
      </c>
      <c r="I40" t="s">
        <v>209</v>
      </c>
      <c r="J40">
        <v>100</v>
      </c>
    </row>
    <row r="41" spans="1:19" ht="16.5" x14ac:dyDescent="0.6">
      <c r="E41" s="13" t="s">
        <v>197</v>
      </c>
      <c r="F41">
        <v>800</v>
      </c>
      <c r="I41" t="s">
        <v>210</v>
      </c>
      <c r="J41">
        <v>21</v>
      </c>
    </row>
    <row r="42" spans="1:19" ht="16.5" x14ac:dyDescent="0.6">
      <c r="E42" s="13" t="s">
        <v>198</v>
      </c>
      <c r="F42">
        <v>200</v>
      </c>
      <c r="I42" t="s">
        <v>211</v>
      </c>
      <c r="J42">
        <v>20</v>
      </c>
    </row>
    <row r="43" spans="1:19" ht="16.5" x14ac:dyDescent="0.6">
      <c r="E43" s="13" t="s">
        <v>199</v>
      </c>
      <c r="F43">
        <v>2000</v>
      </c>
      <c r="I43" t="s">
        <v>212</v>
      </c>
      <c r="J43">
        <v>20</v>
      </c>
    </row>
    <row r="44" spans="1:19" ht="16.5" x14ac:dyDescent="0.6">
      <c r="E44" s="13" t="s">
        <v>205</v>
      </c>
      <c r="F44">
        <v>500</v>
      </c>
      <c r="I44" t="s">
        <v>212</v>
      </c>
      <c r="J44">
        <v>27</v>
      </c>
    </row>
    <row r="45" spans="1:19" ht="16.5" x14ac:dyDescent="0.6">
      <c r="E45" s="13" t="s">
        <v>200</v>
      </c>
      <c r="F45">
        <v>100</v>
      </c>
      <c r="I45" t="s">
        <v>213</v>
      </c>
      <c r="J45">
        <v>67</v>
      </c>
    </row>
    <row r="46" spans="1:19" ht="16.5" x14ac:dyDescent="0.6">
      <c r="E46" s="13" t="s">
        <v>201</v>
      </c>
      <c r="F46">
        <v>67</v>
      </c>
      <c r="I46" t="s">
        <v>22</v>
      </c>
      <c r="J46">
        <v>28</v>
      </c>
    </row>
    <row r="47" spans="1:19" ht="16.5" x14ac:dyDescent="0.6">
      <c r="E47" s="13" t="s">
        <v>202</v>
      </c>
      <c r="F47">
        <v>50</v>
      </c>
      <c r="I47" t="s">
        <v>215</v>
      </c>
      <c r="J47">
        <v>31</v>
      </c>
    </row>
    <row r="48" spans="1:19" ht="16.5" x14ac:dyDescent="0.6">
      <c r="E48" s="13" t="s">
        <v>203</v>
      </c>
      <c r="F48">
        <v>70</v>
      </c>
      <c r="I48" t="s">
        <v>216</v>
      </c>
      <c r="J48">
        <v>32</v>
      </c>
    </row>
    <row r="49" spans="2:10" ht="16.5" x14ac:dyDescent="0.6">
      <c r="E49" s="13" t="s">
        <v>204</v>
      </c>
      <c r="F49">
        <v>300</v>
      </c>
      <c r="I49" t="s">
        <v>217</v>
      </c>
      <c r="J49">
        <v>46</v>
      </c>
    </row>
    <row r="50" spans="2:10" ht="16.5" x14ac:dyDescent="0.6">
      <c r="E50" s="13" t="s">
        <v>206</v>
      </c>
      <c r="F50">
        <v>100</v>
      </c>
      <c r="I50" t="s">
        <v>24</v>
      </c>
      <c r="J50">
        <v>20914</v>
      </c>
    </row>
    <row r="51" spans="2:10" x14ac:dyDescent="0.5">
      <c r="I51" t="s">
        <v>219</v>
      </c>
      <c r="J51">
        <v>357</v>
      </c>
    </row>
    <row r="52" spans="2:10" x14ac:dyDescent="0.5">
      <c r="J52">
        <v>300</v>
      </c>
    </row>
    <row r="54" spans="2:10" x14ac:dyDescent="0.5">
      <c r="F54">
        <f>SUM(F40:F50)</f>
        <v>4687</v>
      </c>
    </row>
    <row r="62" spans="2:10" x14ac:dyDescent="0.5">
      <c r="B62" s="7" t="s">
        <v>2</v>
      </c>
      <c r="C62" s="4">
        <v>1900</v>
      </c>
    </row>
    <row r="98" spans="2:16" x14ac:dyDescent="0.5">
      <c r="B98">
        <v>3000</v>
      </c>
    </row>
    <row r="99" spans="2:16" x14ac:dyDescent="0.5">
      <c r="B99">
        <v>2500</v>
      </c>
      <c r="J99">
        <v>3000</v>
      </c>
    </row>
    <row r="100" spans="2:16" x14ac:dyDescent="0.5">
      <c r="B100">
        <v>2500</v>
      </c>
      <c r="J100">
        <v>600</v>
      </c>
    </row>
    <row r="101" spans="2:16" x14ac:dyDescent="0.5">
      <c r="B101">
        <v>800</v>
      </c>
    </row>
    <row r="102" spans="2:16" x14ac:dyDescent="0.5">
      <c r="B102">
        <v>700</v>
      </c>
    </row>
    <row r="106" spans="2:16" x14ac:dyDescent="0.5">
      <c r="B106">
        <f>SUM(B98:B102)</f>
        <v>9500</v>
      </c>
      <c r="D106">
        <f>B106-7000</f>
        <v>2500</v>
      </c>
    </row>
    <row r="107" spans="2:16" x14ac:dyDescent="0.5">
      <c r="P107">
        <v>126</v>
      </c>
    </row>
    <row r="108" spans="2:16" x14ac:dyDescent="0.5">
      <c r="P108" s="4">
        <v>12</v>
      </c>
    </row>
    <row r="109" spans="2:16" x14ac:dyDescent="0.5">
      <c r="P109" s="4">
        <v>10</v>
      </c>
    </row>
    <row r="110" spans="2:16" x14ac:dyDescent="0.5">
      <c r="P110" s="4">
        <v>20</v>
      </c>
    </row>
    <row r="111" spans="2:16" x14ac:dyDescent="0.5">
      <c r="P111" s="4">
        <v>20</v>
      </c>
    </row>
    <row r="112" spans="2:16" x14ac:dyDescent="0.5">
      <c r="P112" s="4">
        <v>20</v>
      </c>
    </row>
    <row r="113" spans="5:16" x14ac:dyDescent="0.5">
      <c r="P113" s="4">
        <v>3.99</v>
      </c>
    </row>
    <row r="114" spans="5:16" x14ac:dyDescent="0.5">
      <c r="P114" s="4">
        <v>100</v>
      </c>
    </row>
    <row r="115" spans="5:16" x14ac:dyDescent="0.5">
      <c r="E115">
        <v>1400</v>
      </c>
      <c r="P115" s="4">
        <v>75</v>
      </c>
    </row>
    <row r="116" spans="5:16" x14ac:dyDescent="0.5">
      <c r="E116">
        <v>1300</v>
      </c>
      <c r="P116" s="4">
        <v>60</v>
      </c>
    </row>
    <row r="117" spans="5:16" x14ac:dyDescent="0.5">
      <c r="E117">
        <v>950</v>
      </c>
      <c r="P117" s="4"/>
    </row>
    <row r="118" spans="5:16" x14ac:dyDescent="0.5">
      <c r="P118" s="4">
        <v>70</v>
      </c>
    </row>
    <row r="121" spans="5:16" x14ac:dyDescent="0.5">
      <c r="E121">
        <f>SUM(E115:E119)</f>
        <v>3650</v>
      </c>
    </row>
    <row r="125" spans="5:16" x14ac:dyDescent="0.5">
      <c r="P125">
        <f>SUM(P105:P122)</f>
        <v>516.99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F25E-31C5-496E-8089-BC63A88237EF}">
  <sheetPr codeName="Feuil18"/>
  <dimension ref="A1:T125"/>
  <sheetViews>
    <sheetView workbookViewId="0">
      <selection activeCell="E26" sqref="A1:XFD1048576"/>
    </sheetView>
  </sheetViews>
  <sheetFormatPr baseColWidth="10" defaultRowHeight="15.75" x14ac:dyDescent="0.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0" x14ac:dyDescent="0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x14ac:dyDescent="0.5">
      <c r="A3" s="3"/>
      <c r="B3" s="2"/>
      <c r="C3" s="4"/>
      <c r="D3" s="4"/>
      <c r="E3" s="4"/>
      <c r="F3" s="4"/>
      <c r="G3" s="4"/>
      <c r="H3" s="4" t="s">
        <v>59</v>
      </c>
      <c r="I3" s="4" t="s">
        <v>60</v>
      </c>
      <c r="J3" s="5"/>
      <c r="K3" s="4"/>
      <c r="L3" s="4"/>
      <c r="M3" s="4"/>
      <c r="N3" s="4"/>
      <c r="O3" s="4"/>
      <c r="P3" s="4"/>
      <c r="Q3" s="4"/>
      <c r="R3" s="4"/>
      <c r="S3" s="5"/>
    </row>
    <row r="4" spans="1:20" x14ac:dyDescent="0.5">
      <c r="A4" s="3"/>
      <c r="B4" s="2"/>
      <c r="C4" s="4"/>
      <c r="D4" s="4"/>
      <c r="E4" s="6" t="s">
        <v>19</v>
      </c>
      <c r="F4" s="7" t="s">
        <v>5</v>
      </c>
      <c r="G4" s="4"/>
      <c r="H4" s="4">
        <v>6600</v>
      </c>
      <c r="I4" s="4"/>
      <c r="J4" s="5"/>
      <c r="K4" s="4"/>
      <c r="L4" s="4"/>
      <c r="M4" s="6" t="s">
        <v>20</v>
      </c>
      <c r="N4" s="7" t="s">
        <v>5</v>
      </c>
      <c r="O4" s="4">
        <v>1480</v>
      </c>
      <c r="P4" s="4"/>
      <c r="Q4" s="4"/>
      <c r="R4" s="4"/>
      <c r="S4" s="5"/>
    </row>
    <row r="5" spans="1:20" x14ac:dyDescent="0.5">
      <c r="A5" s="3"/>
      <c r="B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5"/>
    </row>
    <row r="6" spans="1:20" x14ac:dyDescent="0.5">
      <c r="A6" s="3"/>
      <c r="B6" s="2"/>
      <c r="C6" s="7" t="s">
        <v>16</v>
      </c>
      <c r="D6" s="8"/>
      <c r="E6" s="7" t="s">
        <v>17</v>
      </c>
      <c r="F6" s="8"/>
      <c r="G6" s="7"/>
      <c r="H6" s="7" t="s">
        <v>18</v>
      </c>
      <c r="I6" s="7"/>
      <c r="J6" s="5"/>
      <c r="K6" s="7" t="s">
        <v>16</v>
      </c>
      <c r="L6" s="8"/>
      <c r="M6" s="7" t="s">
        <v>17</v>
      </c>
      <c r="N6" s="8"/>
      <c r="O6" s="7"/>
      <c r="P6" s="7" t="s">
        <v>18</v>
      </c>
      <c r="Q6" s="7"/>
      <c r="R6" s="4"/>
      <c r="S6" s="5"/>
    </row>
    <row r="7" spans="1:20" x14ac:dyDescent="0.5">
      <c r="A7" s="3"/>
      <c r="B7" s="2" t="s">
        <v>46</v>
      </c>
      <c r="C7" s="4"/>
      <c r="D7" s="4"/>
      <c r="E7" s="2" t="s">
        <v>0</v>
      </c>
      <c r="F7" s="4">
        <v>1012</v>
      </c>
      <c r="G7" s="4"/>
      <c r="H7" s="2"/>
      <c r="I7" s="4"/>
      <c r="J7" s="5"/>
      <c r="K7" s="4"/>
      <c r="L7" s="4"/>
      <c r="M7" s="2" t="s">
        <v>26</v>
      </c>
      <c r="N7" s="4">
        <v>150</v>
      </c>
      <c r="O7" s="4"/>
      <c r="P7" s="2"/>
      <c r="Q7" s="4"/>
      <c r="R7" s="4"/>
      <c r="S7" s="5"/>
    </row>
    <row r="8" spans="1:20" x14ac:dyDescent="0.5">
      <c r="A8" s="3"/>
      <c r="B8" s="2"/>
      <c r="C8" s="4" t="s">
        <v>63</v>
      </c>
      <c r="D8" s="4"/>
      <c r="E8" s="2" t="s">
        <v>220</v>
      </c>
      <c r="F8" s="4"/>
      <c r="G8" s="4"/>
      <c r="H8" s="2"/>
      <c r="I8" s="4"/>
      <c r="J8" s="5"/>
      <c r="K8" s="4"/>
      <c r="L8" s="4"/>
      <c r="M8" s="2" t="s">
        <v>49</v>
      </c>
      <c r="N8" s="4">
        <v>200</v>
      </c>
      <c r="O8" s="4"/>
      <c r="P8" s="2"/>
      <c r="Q8" s="4"/>
      <c r="R8" s="4"/>
      <c r="S8" s="5"/>
      <c r="T8">
        <v>50</v>
      </c>
    </row>
    <row r="9" spans="1:20" x14ac:dyDescent="0.5">
      <c r="A9" s="3"/>
      <c r="B9" s="2" t="s">
        <v>15</v>
      </c>
      <c r="C9" s="4">
        <v>400</v>
      </c>
      <c r="D9" s="4"/>
      <c r="E9" s="2" t="s">
        <v>235</v>
      </c>
      <c r="F9" s="4">
        <v>96</v>
      </c>
      <c r="G9" s="4"/>
      <c r="H9" s="2"/>
      <c r="I9" s="4"/>
      <c r="J9" s="5"/>
      <c r="K9" s="4"/>
      <c r="L9" s="4"/>
      <c r="M9" s="2" t="s">
        <v>50</v>
      </c>
      <c r="N9" s="4">
        <v>200</v>
      </c>
      <c r="O9" s="4"/>
      <c r="P9" s="2"/>
      <c r="Q9" s="4"/>
      <c r="R9" s="4"/>
      <c r="S9" s="5"/>
      <c r="T9">
        <v>200</v>
      </c>
    </row>
    <row r="10" spans="1:20" x14ac:dyDescent="0.5">
      <c r="A10" s="3"/>
      <c r="B10" s="2" t="s">
        <v>221</v>
      </c>
      <c r="C10" s="4">
        <v>200</v>
      </c>
      <c r="D10" s="4"/>
      <c r="E10" s="2" t="s">
        <v>187</v>
      </c>
      <c r="F10" s="4">
        <v>50</v>
      </c>
      <c r="G10" s="4"/>
      <c r="H10" s="2"/>
      <c r="I10" s="4"/>
      <c r="J10" s="5"/>
      <c r="K10" s="4"/>
      <c r="L10" s="4"/>
      <c r="M10" s="2" t="s">
        <v>51</v>
      </c>
      <c r="N10" s="4">
        <v>300</v>
      </c>
      <c r="O10" s="4"/>
      <c r="P10" s="2"/>
      <c r="Q10" s="4"/>
      <c r="R10" s="4"/>
      <c r="S10" s="5"/>
      <c r="T10">
        <v>150</v>
      </c>
    </row>
    <row r="11" spans="1:20" x14ac:dyDescent="0.5">
      <c r="A11" s="3"/>
      <c r="B11" s="2" t="s">
        <v>195</v>
      </c>
      <c r="C11" s="4">
        <v>39</v>
      </c>
      <c r="D11" s="4"/>
      <c r="E11" s="2" t="s">
        <v>1</v>
      </c>
      <c r="F11" s="4">
        <v>157</v>
      </c>
      <c r="G11" s="4"/>
      <c r="J11" s="5"/>
      <c r="K11" s="4"/>
      <c r="L11" s="4"/>
      <c r="M11" s="2" t="s">
        <v>52</v>
      </c>
      <c r="N11" s="4">
        <v>100</v>
      </c>
      <c r="O11" s="4"/>
      <c r="P11" s="2"/>
      <c r="Q11" s="4"/>
      <c r="R11" s="4"/>
      <c r="S11" s="5"/>
      <c r="T11">
        <v>160</v>
      </c>
    </row>
    <row r="12" spans="1:20" x14ac:dyDescent="0.5">
      <c r="A12" s="3"/>
      <c r="B12" s="2" t="s">
        <v>223</v>
      </c>
      <c r="C12" s="4">
        <v>1500</v>
      </c>
      <c r="D12" s="4"/>
      <c r="E12" s="2" t="s">
        <v>9</v>
      </c>
      <c r="F12" s="4">
        <v>300</v>
      </c>
      <c r="G12" s="4"/>
      <c r="J12" s="5"/>
      <c r="K12" s="4"/>
      <c r="L12" s="4"/>
      <c r="M12" s="2" t="s">
        <v>53</v>
      </c>
      <c r="N12" s="4">
        <v>13</v>
      </c>
      <c r="O12" s="4"/>
      <c r="P12" s="2"/>
      <c r="Q12" s="4"/>
      <c r="R12" s="4"/>
      <c r="S12" s="5"/>
    </row>
    <row r="13" spans="1:20" x14ac:dyDescent="0.5">
      <c r="A13" s="3"/>
      <c r="B13" s="2" t="s">
        <v>297</v>
      </c>
      <c r="C13" s="4">
        <v>200</v>
      </c>
      <c r="D13" s="4"/>
      <c r="E13" s="2" t="s">
        <v>235</v>
      </c>
      <c r="F13" s="4">
        <v>52</v>
      </c>
      <c r="G13" s="4"/>
      <c r="J13" s="5"/>
      <c r="K13" s="4"/>
      <c r="L13" s="4"/>
      <c r="M13" s="2" t="s">
        <v>54</v>
      </c>
      <c r="N13" s="4">
        <v>13</v>
      </c>
      <c r="O13" s="4"/>
      <c r="P13" s="2"/>
      <c r="Q13" s="4"/>
      <c r="R13" s="4"/>
      <c r="S13" s="5"/>
    </row>
    <row r="14" spans="1:20" x14ac:dyDescent="0.5">
      <c r="A14" s="3"/>
      <c r="B14" s="2" t="s">
        <v>257</v>
      </c>
      <c r="C14" s="4"/>
      <c r="D14" s="4"/>
      <c r="E14" s="2" t="s">
        <v>14</v>
      </c>
      <c r="F14" s="4">
        <v>13</v>
      </c>
      <c r="G14" s="4"/>
      <c r="J14" s="5"/>
      <c r="K14" s="4"/>
      <c r="L14" s="4"/>
      <c r="M14" s="2"/>
      <c r="N14" s="4"/>
      <c r="O14" s="4"/>
      <c r="P14" s="2"/>
      <c r="Q14" s="4"/>
      <c r="R14" s="4"/>
      <c r="S14" s="5"/>
      <c r="T14">
        <f>SUM(T8:T11)</f>
        <v>560</v>
      </c>
    </row>
    <row r="15" spans="1:20" x14ac:dyDescent="0.5">
      <c r="A15" s="3"/>
      <c r="B15" s="2" t="s">
        <v>258</v>
      </c>
      <c r="C15" s="4"/>
      <c r="D15" s="4"/>
      <c r="E15" s="2" t="s">
        <v>56</v>
      </c>
      <c r="F15" s="4">
        <v>100</v>
      </c>
      <c r="G15" s="4"/>
      <c r="H15" s="2"/>
      <c r="I15" s="4"/>
      <c r="J15" s="5"/>
      <c r="K15" s="4"/>
      <c r="L15" s="4"/>
      <c r="M15" s="2"/>
      <c r="N15" s="4"/>
      <c r="O15" s="4"/>
      <c r="P15" s="2"/>
      <c r="Q15" s="4"/>
      <c r="R15" s="4"/>
      <c r="S15" s="5"/>
    </row>
    <row r="16" spans="1:20" x14ac:dyDescent="0.5">
      <c r="A16" s="3"/>
      <c r="B16" s="2" t="s">
        <v>260</v>
      </c>
      <c r="C16" s="4">
        <v>247</v>
      </c>
      <c r="D16" s="4"/>
      <c r="E16" s="2" t="s">
        <v>222</v>
      </c>
      <c r="F16" s="4">
        <v>131</v>
      </c>
      <c r="G16" s="4"/>
      <c r="H16" s="4"/>
      <c r="I16" s="4"/>
      <c r="J16" s="5"/>
      <c r="K16" s="4"/>
      <c r="L16" s="4"/>
      <c r="M16" s="2"/>
      <c r="N16" s="4"/>
      <c r="O16" s="4"/>
      <c r="P16" s="4"/>
      <c r="Q16" s="4"/>
      <c r="R16" s="4"/>
      <c r="S16" s="5"/>
    </row>
    <row r="17" spans="1:19" x14ac:dyDescent="0.5">
      <c r="A17" s="3"/>
      <c r="B17" s="2" t="s">
        <v>150</v>
      </c>
      <c r="C17" s="4"/>
      <c r="D17" s="4"/>
      <c r="E17" s="2"/>
      <c r="F17" s="4"/>
      <c r="G17" s="4"/>
      <c r="H17" s="4"/>
      <c r="I17" s="4"/>
      <c r="J17" s="5"/>
      <c r="K17" s="4"/>
      <c r="L17" s="4"/>
      <c r="M17" s="2"/>
      <c r="N17" s="4"/>
      <c r="O17" s="4"/>
      <c r="P17" s="4"/>
      <c r="Q17" s="4"/>
      <c r="R17" s="4"/>
      <c r="S17" s="5"/>
    </row>
    <row r="18" spans="1:19" x14ac:dyDescent="0.5">
      <c r="A18" s="3"/>
      <c r="B18" s="2" t="s">
        <v>299</v>
      </c>
      <c r="C18" s="4"/>
      <c r="D18" s="4"/>
      <c r="E18" s="2"/>
      <c r="F18" s="4"/>
      <c r="G18" s="4"/>
      <c r="H18" s="4"/>
      <c r="I18" s="4"/>
      <c r="J18" s="5"/>
      <c r="K18" s="4"/>
      <c r="L18" s="4"/>
      <c r="M18" s="2"/>
      <c r="N18" s="4"/>
      <c r="O18" s="4"/>
      <c r="P18" s="4"/>
      <c r="Q18" s="4"/>
      <c r="R18" s="4"/>
      <c r="S18" s="5"/>
    </row>
    <row r="19" spans="1:19" x14ac:dyDescent="0.5">
      <c r="A19" s="3"/>
      <c r="B19" s="4"/>
      <c r="C19" s="4"/>
      <c r="D19" s="4"/>
      <c r="E19" s="2"/>
      <c r="F19" s="4"/>
      <c r="G19" s="4"/>
      <c r="H19" s="4"/>
      <c r="I19" s="4"/>
      <c r="J19" s="5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5">
      <c r="A20" s="3"/>
      <c r="B20" s="4"/>
      <c r="C20" s="4"/>
      <c r="D20" s="4"/>
      <c r="E20" s="4"/>
      <c r="F20" s="4"/>
      <c r="G20" s="4"/>
      <c r="H20" s="4"/>
      <c r="I20" s="4"/>
      <c r="J20" s="5"/>
      <c r="K20" s="4"/>
      <c r="L20" s="4"/>
      <c r="M20" s="4"/>
      <c r="N20" s="4"/>
      <c r="O20" s="4"/>
      <c r="P20" s="4"/>
      <c r="Q20" s="4"/>
      <c r="R20" s="4"/>
      <c r="S20" s="5"/>
    </row>
    <row r="21" spans="1:19" x14ac:dyDescent="0.5">
      <c r="A21" s="3"/>
      <c r="B21" s="4"/>
      <c r="C21" s="4"/>
      <c r="D21" s="4"/>
      <c r="G21" s="4"/>
      <c r="H21" s="4"/>
      <c r="I21" s="4"/>
      <c r="J21" s="5"/>
      <c r="K21" s="4"/>
      <c r="L21" s="4"/>
      <c r="M21" s="4"/>
      <c r="N21" s="4"/>
      <c r="O21" s="4"/>
      <c r="P21" s="4"/>
      <c r="Q21" s="4"/>
      <c r="R21" s="4"/>
      <c r="S21" s="5"/>
    </row>
    <row r="22" spans="1:19" x14ac:dyDescent="0.5">
      <c r="A22" s="3"/>
      <c r="B22" s="7" t="s">
        <v>4</v>
      </c>
      <c r="C22" s="4">
        <f>SUM(C7:C19)</f>
        <v>2586</v>
      </c>
      <c r="D22" s="4"/>
      <c r="E22" s="4"/>
      <c r="F22" s="4">
        <f>SUM(F7:F20)+150</f>
        <v>2061</v>
      </c>
      <c r="G22" s="4"/>
      <c r="H22" s="4"/>
      <c r="I22" s="4">
        <f>SUM(I7:I19)</f>
        <v>0</v>
      </c>
      <c r="J22" s="5"/>
      <c r="K22" s="4"/>
      <c r="L22" s="4"/>
      <c r="M22" s="4"/>
      <c r="N22" s="4">
        <f>SUM(N7:N19)</f>
        <v>976</v>
      </c>
      <c r="O22" s="4"/>
      <c r="P22" s="4"/>
      <c r="Q22" s="4">
        <f>SUM(Q7:Q18)</f>
        <v>0</v>
      </c>
      <c r="R22" s="4"/>
      <c r="S22" s="5"/>
    </row>
    <row r="23" spans="1:19" x14ac:dyDescent="0.5">
      <c r="A23" s="3"/>
      <c r="B23" s="4"/>
      <c r="C23" s="4"/>
      <c r="D23" s="4"/>
      <c r="E23" s="4"/>
      <c r="F23" s="4"/>
      <c r="G23" s="4"/>
      <c r="H23" s="4"/>
      <c r="I23" s="4"/>
      <c r="J23" s="5"/>
      <c r="K23" s="4"/>
      <c r="L23" s="4"/>
      <c r="M23" s="4"/>
      <c r="N23" s="4"/>
      <c r="O23" s="4"/>
      <c r="P23" s="4"/>
      <c r="Q23" s="4"/>
      <c r="R23" s="4"/>
      <c r="S23" s="5"/>
    </row>
    <row r="24" spans="1:19" x14ac:dyDescent="0.5">
      <c r="A24" s="3"/>
      <c r="B24" s="4"/>
      <c r="C24" s="4"/>
      <c r="D24" s="4"/>
      <c r="E24" s="4"/>
      <c r="F24" s="4"/>
      <c r="G24" s="4"/>
      <c r="H24" s="4"/>
      <c r="I24" s="4"/>
      <c r="J24" s="5"/>
      <c r="K24" s="4"/>
      <c r="L24" s="4"/>
      <c r="M24" s="4"/>
      <c r="N24" s="4"/>
      <c r="O24" s="4"/>
      <c r="P24" s="4"/>
      <c r="Q24" s="4"/>
      <c r="R24" s="4"/>
      <c r="S24" s="5"/>
    </row>
    <row r="25" spans="1:19" x14ac:dyDescent="0.5">
      <c r="A25" s="3"/>
      <c r="B25" s="4"/>
      <c r="C25" s="4"/>
      <c r="D25" s="4"/>
      <c r="E25" s="4"/>
      <c r="F25" s="4"/>
      <c r="G25" s="4"/>
      <c r="H25" s="4"/>
      <c r="I25" s="4"/>
      <c r="J25" s="5"/>
      <c r="K25" s="4"/>
      <c r="L25" s="4"/>
      <c r="M25" s="4"/>
      <c r="N25" s="4"/>
      <c r="O25" s="4"/>
      <c r="P25" s="4"/>
      <c r="Q25" s="4"/>
      <c r="R25" s="4"/>
      <c r="S25" s="5"/>
    </row>
    <row r="26" spans="1:19" x14ac:dyDescent="0.5">
      <c r="A26" s="3"/>
      <c r="B26" s="4"/>
      <c r="C26" s="7" t="s">
        <v>8</v>
      </c>
      <c r="D26" s="4">
        <f>C22+F22+I22</f>
        <v>4647</v>
      </c>
      <c r="E26" s="4"/>
      <c r="F26" s="4"/>
      <c r="G26" s="4"/>
      <c r="H26" s="4"/>
      <c r="I26" s="4"/>
      <c r="J26" s="5"/>
      <c r="K26" s="7" t="s">
        <v>4</v>
      </c>
      <c r="L26" s="4"/>
      <c r="M26" s="4"/>
      <c r="N26" s="4"/>
      <c r="O26" s="4"/>
      <c r="P26" s="4">
        <f>N22+Q22</f>
        <v>976</v>
      </c>
      <c r="Q26" s="4"/>
      <c r="R26" s="4"/>
      <c r="S26" s="5"/>
    </row>
    <row r="27" spans="1:19" x14ac:dyDescent="0.5">
      <c r="A27" s="3"/>
      <c r="B27" s="4"/>
      <c r="C27" s="4"/>
      <c r="D27" s="4"/>
      <c r="E27" s="4"/>
      <c r="F27" s="4"/>
      <c r="G27" s="4"/>
      <c r="H27" s="4"/>
      <c r="I27" s="4"/>
      <c r="J27" s="5"/>
      <c r="K27" s="4"/>
      <c r="L27" s="4"/>
      <c r="M27" s="4"/>
      <c r="N27" s="4"/>
      <c r="O27" s="4"/>
      <c r="P27" s="4"/>
      <c r="Q27" s="4"/>
      <c r="R27" s="4"/>
      <c r="S27" s="5"/>
    </row>
    <row r="28" spans="1:19" x14ac:dyDescent="0.5">
      <c r="A28" s="3"/>
      <c r="B28" s="4"/>
      <c r="C28" s="4"/>
      <c r="D28" s="4"/>
      <c r="E28" s="4"/>
      <c r="F28" s="4"/>
      <c r="G28" s="4"/>
      <c r="H28" s="4"/>
      <c r="I28" s="4"/>
      <c r="J28" s="5"/>
      <c r="K28" s="4"/>
      <c r="L28" s="4"/>
      <c r="M28" s="4"/>
      <c r="N28" s="4"/>
      <c r="O28" s="4"/>
      <c r="P28" s="4"/>
      <c r="Q28" s="4"/>
      <c r="R28" s="4"/>
      <c r="S28" s="5"/>
    </row>
    <row r="29" spans="1:19" x14ac:dyDescent="0.5">
      <c r="A29" s="3"/>
      <c r="B29" s="7" t="s">
        <v>74</v>
      </c>
      <c r="C29" s="4">
        <f>ABS(G4-D26)</f>
        <v>4647</v>
      </c>
      <c r="D29" s="4"/>
      <c r="E29" s="4"/>
      <c r="F29" s="4"/>
      <c r="G29" s="4"/>
      <c r="H29" s="4"/>
      <c r="I29" s="4"/>
      <c r="J29" s="5"/>
      <c r="K29" s="7" t="s">
        <v>21</v>
      </c>
      <c r="L29" s="4">
        <f>O4-P26</f>
        <v>504</v>
      </c>
      <c r="M29" s="4"/>
      <c r="N29" s="4"/>
      <c r="O29" s="4"/>
      <c r="P29" s="4"/>
      <c r="Q29" s="4"/>
      <c r="R29" s="4"/>
      <c r="S29" s="5"/>
    </row>
    <row r="30" spans="1:19" x14ac:dyDescent="0.5">
      <c r="A30" s="3"/>
      <c r="B30" s="4"/>
      <c r="C30" s="4"/>
      <c r="D30" s="4"/>
      <c r="E30" s="4"/>
      <c r="F30" s="4"/>
      <c r="G30" s="4"/>
      <c r="H30" s="4"/>
      <c r="I30" s="4"/>
      <c r="J30" s="5"/>
      <c r="K30" s="4"/>
      <c r="L30" s="4"/>
      <c r="M30" s="4"/>
      <c r="N30" s="4"/>
      <c r="O30" s="4"/>
      <c r="P30" s="4"/>
      <c r="Q30" s="4"/>
      <c r="R30" s="4"/>
      <c r="S30" s="5"/>
    </row>
    <row r="31" spans="1:19" x14ac:dyDescent="0.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 x14ac:dyDescent="0.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5">
      <c r="A34" s="2"/>
      <c r="B34" s="7" t="s">
        <v>25</v>
      </c>
      <c r="C34" s="4">
        <f>H4-D26</f>
        <v>1953</v>
      </c>
      <c r="D34" s="4"/>
      <c r="E34" s="4"/>
      <c r="F34" s="4"/>
      <c r="G34" s="4"/>
      <c r="H34" s="4"/>
      <c r="I34" s="4"/>
      <c r="J34" s="4">
        <f>C29+L29</f>
        <v>5151</v>
      </c>
      <c r="K34" s="4"/>
      <c r="L34" s="4"/>
      <c r="M34" s="4"/>
      <c r="N34" s="4"/>
      <c r="O34" s="4"/>
      <c r="P34" s="4"/>
      <c r="Q34" s="4"/>
      <c r="R34" s="4"/>
      <c r="S34" s="4"/>
    </row>
    <row r="35" spans="1:19" x14ac:dyDescent="0.5">
      <c r="A35" s="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x14ac:dyDescent="0.5">
      <c r="E36">
        <f>5.2+13.8+10.96+13+13+21+6.99+47+62+12+68+40</f>
        <v>312.95</v>
      </c>
    </row>
    <row r="39" spans="1:19" x14ac:dyDescent="0.5">
      <c r="I39" t="s">
        <v>208</v>
      </c>
      <c r="J39">
        <v>39</v>
      </c>
      <c r="L39" t="s">
        <v>214</v>
      </c>
      <c r="M39">
        <f>SUM(J39:J58)</f>
        <v>22002</v>
      </c>
    </row>
    <row r="40" spans="1:19" ht="16.5" x14ac:dyDescent="0.6">
      <c r="E40" s="13" t="s">
        <v>196</v>
      </c>
      <c r="F40">
        <v>500</v>
      </c>
      <c r="I40" t="s">
        <v>209</v>
      </c>
      <c r="J40">
        <v>100</v>
      </c>
    </row>
    <row r="41" spans="1:19" ht="16.5" x14ac:dyDescent="0.6">
      <c r="E41" s="13" t="s">
        <v>197</v>
      </c>
      <c r="F41">
        <v>800</v>
      </c>
      <c r="I41" t="s">
        <v>210</v>
      </c>
      <c r="J41">
        <v>21</v>
      </c>
    </row>
    <row r="42" spans="1:19" ht="16.5" x14ac:dyDescent="0.6">
      <c r="E42" s="13" t="s">
        <v>198</v>
      </c>
      <c r="F42">
        <v>200</v>
      </c>
      <c r="I42" t="s">
        <v>211</v>
      </c>
      <c r="J42">
        <v>20</v>
      </c>
    </row>
    <row r="43" spans="1:19" ht="16.5" x14ac:dyDescent="0.6">
      <c r="E43" s="13" t="s">
        <v>199</v>
      </c>
      <c r="F43">
        <v>2000</v>
      </c>
      <c r="I43" t="s">
        <v>212</v>
      </c>
      <c r="J43">
        <v>20</v>
      </c>
    </row>
    <row r="44" spans="1:19" ht="16.5" x14ac:dyDescent="0.6">
      <c r="E44" s="13" t="s">
        <v>205</v>
      </c>
      <c r="F44">
        <v>500</v>
      </c>
      <c r="I44" t="s">
        <v>212</v>
      </c>
      <c r="J44">
        <v>27</v>
      </c>
    </row>
    <row r="45" spans="1:19" ht="16.5" x14ac:dyDescent="0.6">
      <c r="E45" s="13" t="s">
        <v>200</v>
      </c>
      <c r="F45">
        <v>100</v>
      </c>
      <c r="I45" t="s">
        <v>213</v>
      </c>
      <c r="J45">
        <v>67</v>
      </c>
    </row>
    <row r="46" spans="1:19" ht="16.5" x14ac:dyDescent="0.6">
      <c r="E46" s="13" t="s">
        <v>201</v>
      </c>
      <c r="F46">
        <v>67</v>
      </c>
      <c r="I46" t="s">
        <v>22</v>
      </c>
      <c r="J46">
        <v>28</v>
      </c>
    </row>
    <row r="47" spans="1:19" ht="16.5" x14ac:dyDescent="0.6">
      <c r="E47" s="13" t="s">
        <v>202</v>
      </c>
      <c r="F47">
        <v>50</v>
      </c>
      <c r="I47" t="s">
        <v>215</v>
      </c>
      <c r="J47">
        <v>31</v>
      </c>
    </row>
    <row r="48" spans="1:19" ht="16.5" x14ac:dyDescent="0.6">
      <c r="E48" s="13" t="s">
        <v>203</v>
      </c>
      <c r="F48">
        <v>70</v>
      </c>
      <c r="I48" t="s">
        <v>216</v>
      </c>
      <c r="J48">
        <v>32</v>
      </c>
    </row>
    <row r="49" spans="2:10" ht="16.5" x14ac:dyDescent="0.6">
      <c r="E49" s="13" t="s">
        <v>204</v>
      </c>
      <c r="F49">
        <v>300</v>
      </c>
      <c r="I49" t="s">
        <v>217</v>
      </c>
      <c r="J49">
        <v>46</v>
      </c>
    </row>
    <row r="50" spans="2:10" ht="16.5" x14ac:dyDescent="0.6">
      <c r="E50" s="13" t="s">
        <v>206</v>
      </c>
      <c r="F50">
        <v>100</v>
      </c>
      <c r="I50" t="s">
        <v>24</v>
      </c>
      <c r="J50">
        <v>20914</v>
      </c>
    </row>
    <row r="51" spans="2:10" x14ac:dyDescent="0.5">
      <c r="I51" t="s">
        <v>219</v>
      </c>
      <c r="J51">
        <v>357</v>
      </c>
    </row>
    <row r="52" spans="2:10" x14ac:dyDescent="0.5">
      <c r="J52">
        <v>300</v>
      </c>
    </row>
    <row r="54" spans="2:10" x14ac:dyDescent="0.5">
      <c r="F54">
        <f>SUM(F40:F50)</f>
        <v>4687</v>
      </c>
    </row>
    <row r="62" spans="2:10" x14ac:dyDescent="0.5">
      <c r="B62" s="7" t="s">
        <v>2</v>
      </c>
      <c r="C62" s="4">
        <v>1900</v>
      </c>
    </row>
    <row r="98" spans="2:16" x14ac:dyDescent="0.5">
      <c r="B98">
        <v>3000</v>
      </c>
    </row>
    <row r="99" spans="2:16" x14ac:dyDescent="0.5">
      <c r="B99">
        <v>2500</v>
      </c>
      <c r="J99">
        <v>3000</v>
      </c>
    </row>
    <row r="100" spans="2:16" x14ac:dyDescent="0.5">
      <c r="B100">
        <v>2500</v>
      </c>
      <c r="J100">
        <v>600</v>
      </c>
    </row>
    <row r="101" spans="2:16" x14ac:dyDescent="0.5">
      <c r="B101">
        <v>800</v>
      </c>
    </row>
    <row r="102" spans="2:16" x14ac:dyDescent="0.5">
      <c r="B102">
        <v>700</v>
      </c>
    </row>
    <row r="106" spans="2:16" x14ac:dyDescent="0.5">
      <c r="B106">
        <f>SUM(B98:B102)</f>
        <v>9500</v>
      </c>
      <c r="D106">
        <f>B106-7000</f>
        <v>2500</v>
      </c>
    </row>
    <row r="107" spans="2:16" x14ac:dyDescent="0.5">
      <c r="P107">
        <v>126</v>
      </c>
    </row>
    <row r="108" spans="2:16" x14ac:dyDescent="0.5">
      <c r="P108" s="4">
        <v>12</v>
      </c>
    </row>
    <row r="109" spans="2:16" x14ac:dyDescent="0.5">
      <c r="P109" s="4">
        <v>10</v>
      </c>
    </row>
    <row r="110" spans="2:16" x14ac:dyDescent="0.5">
      <c r="P110" s="4">
        <v>20</v>
      </c>
    </row>
    <row r="111" spans="2:16" x14ac:dyDescent="0.5">
      <c r="P111" s="4">
        <v>20</v>
      </c>
    </row>
    <row r="112" spans="2:16" x14ac:dyDescent="0.5">
      <c r="P112" s="4">
        <v>20</v>
      </c>
    </row>
    <row r="113" spans="5:16" x14ac:dyDescent="0.5">
      <c r="P113" s="4">
        <v>3.99</v>
      </c>
    </row>
    <row r="114" spans="5:16" x14ac:dyDescent="0.5">
      <c r="P114" s="4">
        <v>100</v>
      </c>
    </row>
    <row r="115" spans="5:16" x14ac:dyDescent="0.5">
      <c r="E115">
        <v>1400</v>
      </c>
      <c r="P115" s="4">
        <v>75</v>
      </c>
    </row>
    <row r="116" spans="5:16" x14ac:dyDescent="0.5">
      <c r="E116">
        <v>1300</v>
      </c>
      <c r="P116" s="4">
        <v>60</v>
      </c>
    </row>
    <row r="117" spans="5:16" x14ac:dyDescent="0.5">
      <c r="E117">
        <v>950</v>
      </c>
      <c r="P117" s="4"/>
    </row>
    <row r="118" spans="5:16" x14ac:dyDescent="0.5">
      <c r="P118" s="4">
        <v>70</v>
      </c>
    </row>
    <row r="121" spans="5:16" x14ac:dyDescent="0.5">
      <c r="E121">
        <f>SUM(E115:E119)</f>
        <v>3650</v>
      </c>
    </row>
    <row r="125" spans="5:16" x14ac:dyDescent="0.5">
      <c r="P125">
        <f>SUM(P105:P122)</f>
        <v>516.99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08D44-5740-4FBB-BE22-89E626F4C9EB}">
  <dimension ref="A1:T125"/>
  <sheetViews>
    <sheetView topLeftCell="A5" workbookViewId="0">
      <selection activeCell="C15" sqref="C15"/>
    </sheetView>
  </sheetViews>
  <sheetFormatPr baseColWidth="10" defaultRowHeight="15.75" x14ac:dyDescent="0.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0" x14ac:dyDescent="0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x14ac:dyDescent="0.5">
      <c r="A3" s="3"/>
      <c r="B3" s="2"/>
      <c r="C3" s="4"/>
      <c r="D3" s="4"/>
      <c r="E3" s="4"/>
      <c r="F3" s="4"/>
      <c r="G3" s="4"/>
      <c r="H3" s="4" t="s">
        <v>59</v>
      </c>
      <c r="I3" s="4" t="s">
        <v>60</v>
      </c>
      <c r="J3" s="5"/>
      <c r="K3" s="4"/>
      <c r="L3" s="4"/>
      <c r="M3" s="4"/>
      <c r="N3" s="4"/>
      <c r="O3" s="4"/>
      <c r="P3" s="4"/>
      <c r="Q3" s="4"/>
      <c r="R3" s="4"/>
      <c r="S3" s="5"/>
    </row>
    <row r="4" spans="1:20" x14ac:dyDescent="0.5">
      <c r="A4" s="3"/>
      <c r="B4" s="2"/>
      <c r="C4" s="4"/>
      <c r="D4" s="4"/>
      <c r="E4" s="6" t="s">
        <v>19</v>
      </c>
      <c r="F4" s="7" t="s">
        <v>5</v>
      </c>
      <c r="G4" s="4"/>
      <c r="H4" s="4">
        <f>3000+2500</f>
        <v>5500</v>
      </c>
      <c r="I4" s="4"/>
      <c r="J4" s="5"/>
      <c r="K4" s="4"/>
      <c r="L4" s="4"/>
      <c r="M4" s="6" t="s">
        <v>20</v>
      </c>
      <c r="N4" s="7" t="s">
        <v>5</v>
      </c>
      <c r="O4" s="4">
        <v>1480</v>
      </c>
      <c r="P4" s="4"/>
      <c r="Q4" s="4"/>
      <c r="R4" s="4"/>
      <c r="S4" s="5"/>
    </row>
    <row r="5" spans="1:20" x14ac:dyDescent="0.5">
      <c r="A5" s="3"/>
      <c r="B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5"/>
    </row>
    <row r="6" spans="1:20" x14ac:dyDescent="0.5">
      <c r="A6" s="3"/>
      <c r="B6" s="2"/>
      <c r="C6" s="7" t="s">
        <v>16</v>
      </c>
      <c r="D6" s="8"/>
      <c r="E6" s="7" t="s">
        <v>17</v>
      </c>
      <c r="F6" s="8"/>
      <c r="G6" s="7"/>
      <c r="H6" s="7" t="s">
        <v>18</v>
      </c>
      <c r="I6" s="7"/>
      <c r="J6" s="5"/>
      <c r="K6" s="7" t="s">
        <v>16</v>
      </c>
      <c r="L6" s="8"/>
      <c r="M6" s="7" t="s">
        <v>17</v>
      </c>
      <c r="N6" s="8"/>
      <c r="O6" s="7"/>
      <c r="P6" s="7" t="s">
        <v>18</v>
      </c>
      <c r="Q6" s="7"/>
      <c r="R6" s="4"/>
      <c r="S6" s="5"/>
    </row>
    <row r="7" spans="1:20" x14ac:dyDescent="0.5">
      <c r="A7" s="3"/>
      <c r="B7" s="2" t="s">
        <v>46</v>
      </c>
      <c r="C7" s="4"/>
      <c r="D7" s="4"/>
      <c r="E7" s="2" t="s">
        <v>0</v>
      </c>
      <c r="F7" s="4">
        <v>1012</v>
      </c>
      <c r="G7" s="4"/>
      <c r="H7" s="2"/>
      <c r="I7" s="4"/>
      <c r="J7" s="5"/>
      <c r="K7" s="4"/>
      <c r="L7" s="4"/>
      <c r="M7" s="2" t="s">
        <v>26</v>
      </c>
      <c r="N7" s="4">
        <v>150</v>
      </c>
      <c r="O7" s="4"/>
      <c r="P7" s="2"/>
      <c r="Q7" s="4"/>
      <c r="R7" s="4"/>
      <c r="S7" s="5"/>
    </row>
    <row r="8" spans="1:20" x14ac:dyDescent="0.5">
      <c r="A8" s="3"/>
      <c r="B8" s="2"/>
      <c r="C8" s="4" t="s">
        <v>63</v>
      </c>
      <c r="D8" s="4"/>
      <c r="E8" s="2" t="s">
        <v>220</v>
      </c>
      <c r="F8" s="4"/>
      <c r="G8" s="4"/>
      <c r="H8" s="2"/>
      <c r="I8" s="4"/>
      <c r="J8" s="5"/>
      <c r="K8" s="4"/>
      <c r="L8" s="4"/>
      <c r="M8" s="2" t="s">
        <v>49</v>
      </c>
      <c r="N8" s="4">
        <v>200</v>
      </c>
      <c r="O8" s="4"/>
      <c r="P8" s="2"/>
      <c r="Q8" s="4"/>
      <c r="R8" s="4"/>
      <c r="S8" s="5"/>
      <c r="T8">
        <v>50</v>
      </c>
    </row>
    <row r="9" spans="1:20" x14ac:dyDescent="0.5">
      <c r="A9" s="3"/>
      <c r="B9" s="2" t="s">
        <v>15</v>
      </c>
      <c r="C9" s="4">
        <v>400</v>
      </c>
      <c r="D9" s="4"/>
      <c r="E9" s="2" t="s">
        <v>235</v>
      </c>
      <c r="F9" s="4">
        <v>96</v>
      </c>
      <c r="G9" s="4"/>
      <c r="H9" s="2"/>
      <c r="I9" s="4"/>
      <c r="J9" s="5"/>
      <c r="K9" s="4"/>
      <c r="L9" s="4"/>
      <c r="M9" s="2" t="s">
        <v>50</v>
      </c>
      <c r="N9" s="4">
        <v>200</v>
      </c>
      <c r="O9" s="4"/>
      <c r="P9" s="2"/>
      <c r="Q9" s="4"/>
      <c r="R9" s="4"/>
      <c r="S9" s="5"/>
      <c r="T9">
        <v>200</v>
      </c>
    </row>
    <row r="10" spans="1:20" x14ac:dyDescent="0.5">
      <c r="A10" s="3"/>
      <c r="B10" s="2" t="s">
        <v>303</v>
      </c>
      <c r="C10" s="4">
        <v>150</v>
      </c>
      <c r="D10" s="4"/>
      <c r="E10" s="2" t="s">
        <v>187</v>
      </c>
      <c r="F10" s="4">
        <v>50</v>
      </c>
      <c r="G10" s="4"/>
      <c r="H10" s="2"/>
      <c r="I10" s="4"/>
      <c r="J10" s="5"/>
      <c r="K10" s="4"/>
      <c r="L10" s="4"/>
      <c r="M10" s="2" t="s">
        <v>51</v>
      </c>
      <c r="N10" s="4">
        <v>300</v>
      </c>
      <c r="O10" s="4"/>
      <c r="P10" s="2"/>
      <c r="Q10" s="4"/>
      <c r="R10" s="4"/>
      <c r="S10" s="5"/>
      <c r="T10">
        <v>150</v>
      </c>
    </row>
    <row r="11" spans="1:20" x14ac:dyDescent="0.5">
      <c r="A11" s="3"/>
      <c r="B11" s="2" t="s">
        <v>195</v>
      </c>
      <c r="C11" s="4">
        <v>39</v>
      </c>
      <c r="D11" s="4"/>
      <c r="E11" s="2" t="s">
        <v>1</v>
      </c>
      <c r="F11" s="4">
        <v>157</v>
      </c>
      <c r="G11" s="4"/>
      <c r="J11" s="5"/>
      <c r="K11" s="4"/>
      <c r="L11" s="4"/>
      <c r="M11" s="2" t="s">
        <v>52</v>
      </c>
      <c r="N11" s="4">
        <v>100</v>
      </c>
      <c r="O11" s="4"/>
      <c r="P11" s="2"/>
      <c r="Q11" s="4"/>
      <c r="R11" s="4"/>
      <c r="S11" s="5"/>
      <c r="T11">
        <v>160</v>
      </c>
    </row>
    <row r="12" spans="1:20" x14ac:dyDescent="0.5">
      <c r="A12" s="3"/>
      <c r="B12" s="2" t="s">
        <v>223</v>
      </c>
      <c r="C12" s="4">
        <v>1000</v>
      </c>
      <c r="D12" s="4"/>
      <c r="E12" s="2" t="s">
        <v>9</v>
      </c>
      <c r="F12" s="4">
        <v>300</v>
      </c>
      <c r="G12" s="4"/>
      <c r="J12" s="5"/>
      <c r="K12" s="4"/>
      <c r="L12" s="4"/>
      <c r="M12" s="2" t="s">
        <v>53</v>
      </c>
      <c r="N12" s="4">
        <v>13</v>
      </c>
      <c r="O12" s="4"/>
      <c r="P12" s="2"/>
      <c r="Q12" s="4"/>
      <c r="R12" s="4"/>
      <c r="S12" s="5"/>
    </row>
    <row r="13" spans="1:20" x14ac:dyDescent="0.5">
      <c r="A13" s="3"/>
      <c r="B13" s="2" t="s">
        <v>297</v>
      </c>
      <c r="C13" s="4"/>
      <c r="D13" s="4"/>
      <c r="E13" s="2" t="s">
        <v>235</v>
      </c>
      <c r="F13" s="4">
        <v>52</v>
      </c>
      <c r="G13" s="4"/>
      <c r="J13" s="5"/>
      <c r="K13" s="4"/>
      <c r="L13" s="4"/>
      <c r="M13" s="2" t="s">
        <v>54</v>
      </c>
      <c r="N13" s="4">
        <v>13</v>
      </c>
      <c r="O13" s="4"/>
      <c r="P13" s="2"/>
      <c r="Q13" s="4"/>
      <c r="R13" s="4"/>
      <c r="S13" s="5"/>
    </row>
    <row r="14" spans="1:20" x14ac:dyDescent="0.5">
      <c r="A14" s="3"/>
      <c r="B14" s="2" t="s">
        <v>304</v>
      </c>
      <c r="C14" s="4">
        <v>224</v>
      </c>
      <c r="D14" s="4"/>
      <c r="E14" s="2" t="s">
        <v>14</v>
      </c>
      <c r="F14" s="4">
        <v>13</v>
      </c>
      <c r="G14" s="4"/>
      <c r="J14" s="5"/>
      <c r="K14" s="4"/>
      <c r="L14" s="4"/>
      <c r="M14" s="2"/>
      <c r="N14" s="4"/>
      <c r="O14" s="4"/>
      <c r="P14" s="2"/>
      <c r="Q14" s="4"/>
      <c r="R14" s="4"/>
      <c r="S14" s="5"/>
      <c r="T14">
        <f>SUM(T8:T11)</f>
        <v>560</v>
      </c>
    </row>
    <row r="15" spans="1:20" x14ac:dyDescent="0.5">
      <c r="A15" s="3"/>
      <c r="B15" s="2"/>
      <c r="C15" s="4"/>
      <c r="D15" s="4"/>
      <c r="E15" s="2" t="s">
        <v>56</v>
      </c>
      <c r="F15" s="4">
        <v>100</v>
      </c>
      <c r="G15" s="4"/>
      <c r="H15" s="2"/>
      <c r="I15" s="4"/>
      <c r="J15" s="5"/>
      <c r="K15" s="4"/>
      <c r="L15" s="4"/>
      <c r="M15" s="2"/>
      <c r="N15" s="4"/>
      <c r="O15" s="4"/>
      <c r="P15" s="2"/>
      <c r="Q15" s="4"/>
      <c r="R15" s="4"/>
      <c r="S15" s="5"/>
    </row>
    <row r="16" spans="1:20" x14ac:dyDescent="0.5">
      <c r="A16" s="3"/>
      <c r="B16" s="2" t="s">
        <v>260</v>
      </c>
      <c r="C16" s="4">
        <v>247</v>
      </c>
      <c r="D16" s="4"/>
      <c r="E16" s="2" t="s">
        <v>222</v>
      </c>
      <c r="F16" s="4">
        <v>131</v>
      </c>
      <c r="G16" s="4"/>
      <c r="H16" s="4"/>
      <c r="I16" s="4"/>
      <c r="J16" s="5"/>
      <c r="K16" s="4"/>
      <c r="L16" s="4"/>
      <c r="M16" s="2"/>
      <c r="N16" s="4"/>
      <c r="O16" s="4"/>
      <c r="P16" s="4"/>
      <c r="Q16" s="4"/>
      <c r="R16" s="4"/>
      <c r="S16" s="5"/>
    </row>
    <row r="17" spans="1:19" x14ac:dyDescent="0.5">
      <c r="A17" s="3"/>
      <c r="B17" s="2"/>
      <c r="C17" s="4"/>
      <c r="D17" s="4"/>
      <c r="E17" s="2"/>
      <c r="F17" s="4"/>
      <c r="G17" s="4"/>
      <c r="H17" s="4"/>
      <c r="I17" s="4"/>
      <c r="J17" s="5"/>
      <c r="K17" s="4"/>
      <c r="L17" s="4"/>
      <c r="M17" s="2"/>
      <c r="N17" s="4"/>
      <c r="O17" s="4"/>
      <c r="P17" s="4"/>
      <c r="Q17" s="4"/>
      <c r="R17" s="4"/>
      <c r="S17" s="5"/>
    </row>
    <row r="18" spans="1:19" x14ac:dyDescent="0.5">
      <c r="A18" s="3"/>
      <c r="B18" s="2"/>
      <c r="C18" s="4"/>
      <c r="D18" s="4"/>
      <c r="E18" s="2"/>
      <c r="F18" s="4"/>
      <c r="G18" s="4"/>
      <c r="H18" s="4"/>
      <c r="I18" s="4"/>
      <c r="J18" s="5"/>
      <c r="K18" s="4"/>
      <c r="L18" s="4"/>
      <c r="M18" s="2"/>
      <c r="N18" s="4"/>
      <c r="O18" s="4"/>
      <c r="P18" s="4"/>
      <c r="Q18" s="4"/>
      <c r="R18" s="4"/>
      <c r="S18" s="5"/>
    </row>
    <row r="19" spans="1:19" x14ac:dyDescent="0.5">
      <c r="A19" s="3"/>
      <c r="B19" s="4"/>
      <c r="C19" s="4"/>
      <c r="D19" s="4"/>
      <c r="E19" s="2"/>
      <c r="F19" s="4"/>
      <c r="G19" s="4"/>
      <c r="H19" s="4"/>
      <c r="I19" s="4"/>
      <c r="J19" s="5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5">
      <c r="A20" s="3"/>
      <c r="B20" s="4"/>
      <c r="C20" s="4"/>
      <c r="D20" s="4"/>
      <c r="E20" s="4"/>
      <c r="F20" s="4"/>
      <c r="G20" s="4"/>
      <c r="H20" s="4"/>
      <c r="I20" s="4"/>
      <c r="J20" s="5"/>
      <c r="K20" s="4"/>
      <c r="L20" s="4"/>
      <c r="M20" s="4"/>
      <c r="N20" s="4"/>
      <c r="O20" s="4"/>
      <c r="P20" s="4"/>
      <c r="Q20" s="4"/>
      <c r="R20" s="4"/>
      <c r="S20" s="5"/>
    </row>
    <row r="21" spans="1:19" x14ac:dyDescent="0.5">
      <c r="A21" s="3"/>
      <c r="B21" s="4"/>
      <c r="C21" s="4"/>
      <c r="D21" s="4"/>
      <c r="G21" s="4"/>
      <c r="H21" s="4"/>
      <c r="I21" s="4"/>
      <c r="J21" s="5"/>
      <c r="K21" s="4"/>
      <c r="L21" s="4"/>
      <c r="M21" s="4"/>
      <c r="N21" s="4"/>
      <c r="O21" s="4"/>
      <c r="P21" s="4"/>
      <c r="Q21" s="4"/>
      <c r="R21" s="4"/>
      <c r="S21" s="5"/>
    </row>
    <row r="22" spans="1:19" x14ac:dyDescent="0.5">
      <c r="A22" s="3"/>
      <c r="B22" s="7" t="s">
        <v>4</v>
      </c>
      <c r="C22" s="4">
        <f>SUM(C7:C19)</f>
        <v>2060</v>
      </c>
      <c r="D22" s="4"/>
      <c r="E22" s="4"/>
      <c r="F22" s="4">
        <f>SUM(F7:F20)+150</f>
        <v>2061</v>
      </c>
      <c r="G22" s="4"/>
      <c r="H22" s="4"/>
      <c r="I22" s="4">
        <f>SUM(I7:I19)</f>
        <v>0</v>
      </c>
      <c r="J22" s="5"/>
      <c r="K22" s="4"/>
      <c r="L22" s="4"/>
      <c r="M22" s="4"/>
      <c r="N22" s="4">
        <f>SUM(N7:N19)</f>
        <v>976</v>
      </c>
      <c r="O22" s="4"/>
      <c r="P22" s="4"/>
      <c r="Q22" s="4">
        <f>SUM(Q7:Q18)</f>
        <v>0</v>
      </c>
      <c r="R22" s="4"/>
      <c r="S22" s="5"/>
    </row>
    <row r="23" spans="1:19" x14ac:dyDescent="0.5">
      <c r="A23" s="3"/>
      <c r="B23" s="4"/>
      <c r="C23" s="4"/>
      <c r="D23" s="4"/>
      <c r="E23" s="4"/>
      <c r="F23" s="4"/>
      <c r="G23" s="4"/>
      <c r="H23" s="4"/>
      <c r="I23" s="4"/>
      <c r="J23" s="5"/>
      <c r="K23" s="4"/>
      <c r="L23" s="4"/>
      <c r="M23" s="4"/>
      <c r="N23" s="4"/>
      <c r="O23" s="4"/>
      <c r="P23" s="4"/>
      <c r="Q23" s="4"/>
      <c r="R23" s="4"/>
      <c r="S23" s="5"/>
    </row>
    <row r="24" spans="1:19" x14ac:dyDescent="0.5">
      <c r="A24" s="3"/>
      <c r="B24" s="4"/>
      <c r="C24" s="4"/>
      <c r="D24" s="4"/>
      <c r="E24" s="4"/>
      <c r="F24" s="4"/>
      <c r="G24" s="4"/>
      <c r="H24" s="4"/>
      <c r="I24" s="4"/>
      <c r="J24" s="5"/>
      <c r="K24" s="4"/>
      <c r="L24" s="4"/>
      <c r="M24" s="4"/>
      <c r="N24" s="4"/>
      <c r="O24" s="4"/>
      <c r="P24" s="4"/>
      <c r="Q24" s="4"/>
      <c r="R24" s="4"/>
      <c r="S24" s="5"/>
    </row>
    <row r="25" spans="1:19" x14ac:dyDescent="0.5">
      <c r="A25" s="3"/>
      <c r="B25" s="4"/>
      <c r="C25" s="4"/>
      <c r="D25" s="4"/>
      <c r="E25" s="4"/>
      <c r="F25" s="4"/>
      <c r="G25" s="4"/>
      <c r="H25" s="4"/>
      <c r="I25" s="4"/>
      <c r="J25" s="5"/>
      <c r="K25" s="4"/>
      <c r="L25" s="4"/>
      <c r="M25" s="4"/>
      <c r="N25" s="4"/>
      <c r="O25" s="4"/>
      <c r="P25" s="4"/>
      <c r="Q25" s="4"/>
      <c r="R25" s="4"/>
      <c r="S25" s="5"/>
    </row>
    <row r="26" spans="1:19" x14ac:dyDescent="0.5">
      <c r="A26" s="3"/>
      <c r="B26" s="4"/>
      <c r="C26" s="7" t="s">
        <v>8</v>
      </c>
      <c r="D26" s="4">
        <f>C22+F22+I22</f>
        <v>4121</v>
      </c>
      <c r="E26" s="4"/>
      <c r="F26" s="4"/>
      <c r="G26" s="4"/>
      <c r="H26" s="4"/>
      <c r="I26" s="4"/>
      <c r="J26" s="5"/>
      <c r="K26" s="7" t="s">
        <v>4</v>
      </c>
      <c r="L26" s="4"/>
      <c r="M26" s="4"/>
      <c r="N26" s="4"/>
      <c r="O26" s="4"/>
      <c r="P26" s="4">
        <f>N22+Q22</f>
        <v>976</v>
      </c>
      <c r="Q26" s="4"/>
      <c r="R26" s="4"/>
      <c r="S26" s="5"/>
    </row>
    <row r="27" spans="1:19" x14ac:dyDescent="0.5">
      <c r="A27" s="3"/>
      <c r="B27" s="4"/>
      <c r="C27" s="4"/>
      <c r="D27" s="4"/>
      <c r="E27" s="4"/>
      <c r="F27" s="4"/>
      <c r="G27" s="4"/>
      <c r="H27" s="4"/>
      <c r="I27" s="4"/>
      <c r="J27" s="5"/>
      <c r="K27" s="4"/>
      <c r="L27" s="4"/>
      <c r="M27" s="4"/>
      <c r="N27" s="4"/>
      <c r="O27" s="4"/>
      <c r="P27" s="4"/>
      <c r="Q27" s="4"/>
      <c r="R27" s="4"/>
      <c r="S27" s="5"/>
    </row>
    <row r="28" spans="1:19" x14ac:dyDescent="0.5">
      <c r="A28" s="3"/>
      <c r="B28" s="4"/>
      <c r="C28" s="4"/>
      <c r="D28" s="4"/>
      <c r="E28" s="4"/>
      <c r="F28" s="4"/>
      <c r="G28" s="4"/>
      <c r="H28" s="4"/>
      <c r="I28" s="4"/>
      <c r="J28" s="5"/>
      <c r="K28" s="4"/>
      <c r="L28" s="4"/>
      <c r="M28" s="4"/>
      <c r="N28" s="4"/>
      <c r="O28" s="4"/>
      <c r="P28" s="4"/>
      <c r="Q28" s="4"/>
      <c r="R28" s="4"/>
      <c r="S28" s="5"/>
    </row>
    <row r="29" spans="1:19" x14ac:dyDescent="0.5">
      <c r="A29" s="3"/>
      <c r="B29" s="7" t="s">
        <v>74</v>
      </c>
      <c r="C29" s="4">
        <f>ABS(G4-D26)</f>
        <v>4121</v>
      </c>
      <c r="D29" s="4"/>
      <c r="E29" s="4"/>
      <c r="F29" s="4"/>
      <c r="G29" s="4"/>
      <c r="H29" s="4"/>
      <c r="I29" s="4"/>
      <c r="J29" s="5"/>
      <c r="K29" s="7" t="s">
        <v>21</v>
      </c>
      <c r="L29" s="4">
        <f>O4-P26</f>
        <v>504</v>
      </c>
      <c r="M29" s="4"/>
      <c r="N29" s="4"/>
      <c r="O29" s="4"/>
      <c r="P29" s="4"/>
      <c r="Q29" s="4"/>
      <c r="R29" s="4"/>
      <c r="S29" s="5"/>
    </row>
    <row r="30" spans="1:19" x14ac:dyDescent="0.5">
      <c r="A30" s="3"/>
      <c r="B30" s="4"/>
      <c r="C30" s="4"/>
      <c r="D30" s="4"/>
      <c r="E30" s="4"/>
      <c r="F30" s="4"/>
      <c r="G30" s="4"/>
      <c r="H30" s="4"/>
      <c r="I30" s="4"/>
      <c r="J30" s="5"/>
      <c r="K30" s="4"/>
      <c r="L30" s="4"/>
      <c r="M30" s="4"/>
      <c r="N30" s="4"/>
      <c r="O30" s="4"/>
      <c r="P30" s="4"/>
      <c r="Q30" s="4"/>
      <c r="R30" s="4"/>
      <c r="S30" s="5"/>
    </row>
    <row r="31" spans="1:19" x14ac:dyDescent="0.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 x14ac:dyDescent="0.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5">
      <c r="A34" s="2"/>
      <c r="B34" s="7" t="s">
        <v>25</v>
      </c>
      <c r="C34" s="4">
        <f>H4-D26</f>
        <v>1379</v>
      </c>
      <c r="D34" s="4"/>
      <c r="E34" s="4"/>
      <c r="F34" s="4"/>
      <c r="G34" s="4"/>
      <c r="H34" s="4"/>
      <c r="I34" s="4"/>
      <c r="J34" s="4">
        <f>C29+L29</f>
        <v>4625</v>
      </c>
      <c r="K34" s="4"/>
      <c r="L34" s="4"/>
      <c r="M34" s="4"/>
      <c r="N34" s="4"/>
      <c r="O34" s="4"/>
      <c r="P34" s="4"/>
      <c r="Q34" s="4"/>
      <c r="R34" s="4"/>
      <c r="S34" s="4"/>
    </row>
    <row r="35" spans="1:19" x14ac:dyDescent="0.5">
      <c r="A35" s="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x14ac:dyDescent="0.5">
      <c r="E36">
        <f>5.2+13.8+10.96+13+13+21+6.99+47+62+12+68+40</f>
        <v>312.95</v>
      </c>
    </row>
    <row r="39" spans="1:19" x14ac:dyDescent="0.5">
      <c r="I39" t="s">
        <v>208</v>
      </c>
      <c r="J39">
        <v>39</v>
      </c>
      <c r="L39" t="s">
        <v>214</v>
      </c>
      <c r="M39">
        <f>SUM(J39:J58)</f>
        <v>22002</v>
      </c>
    </row>
    <row r="40" spans="1:19" ht="16.5" x14ac:dyDescent="0.6">
      <c r="E40" s="13" t="s">
        <v>196</v>
      </c>
      <c r="F40">
        <v>500</v>
      </c>
      <c r="I40" t="s">
        <v>209</v>
      </c>
      <c r="J40">
        <v>100</v>
      </c>
    </row>
    <row r="41" spans="1:19" ht="16.5" x14ac:dyDescent="0.6">
      <c r="E41" s="13" t="s">
        <v>197</v>
      </c>
      <c r="F41">
        <v>800</v>
      </c>
      <c r="I41" t="s">
        <v>210</v>
      </c>
      <c r="J41">
        <v>21</v>
      </c>
    </row>
    <row r="42" spans="1:19" ht="16.5" x14ac:dyDescent="0.6">
      <c r="E42" s="13" t="s">
        <v>198</v>
      </c>
      <c r="F42">
        <v>200</v>
      </c>
      <c r="I42" t="s">
        <v>211</v>
      </c>
      <c r="J42">
        <v>20</v>
      </c>
    </row>
    <row r="43" spans="1:19" ht="16.5" x14ac:dyDescent="0.6">
      <c r="E43" s="13" t="s">
        <v>199</v>
      </c>
      <c r="F43">
        <v>2000</v>
      </c>
      <c r="I43" t="s">
        <v>212</v>
      </c>
      <c r="J43">
        <v>20</v>
      </c>
    </row>
    <row r="44" spans="1:19" ht="16.5" x14ac:dyDescent="0.6">
      <c r="E44" s="13" t="s">
        <v>205</v>
      </c>
      <c r="F44">
        <v>500</v>
      </c>
      <c r="I44" t="s">
        <v>212</v>
      </c>
      <c r="J44">
        <v>27</v>
      </c>
    </row>
    <row r="45" spans="1:19" ht="16.5" x14ac:dyDescent="0.6">
      <c r="E45" s="13" t="s">
        <v>200</v>
      </c>
      <c r="F45">
        <v>100</v>
      </c>
      <c r="I45" t="s">
        <v>213</v>
      </c>
      <c r="J45">
        <v>67</v>
      </c>
    </row>
    <row r="46" spans="1:19" ht="16.5" x14ac:dyDescent="0.6">
      <c r="E46" s="13" t="s">
        <v>201</v>
      </c>
      <c r="F46">
        <v>67</v>
      </c>
      <c r="I46" t="s">
        <v>22</v>
      </c>
      <c r="J46">
        <v>28</v>
      </c>
    </row>
    <row r="47" spans="1:19" ht="16.5" x14ac:dyDescent="0.6">
      <c r="E47" s="13" t="s">
        <v>202</v>
      </c>
      <c r="F47">
        <v>50</v>
      </c>
      <c r="I47" t="s">
        <v>215</v>
      </c>
      <c r="J47">
        <v>31</v>
      </c>
    </row>
    <row r="48" spans="1:19" ht="16.5" x14ac:dyDescent="0.6">
      <c r="E48" s="13" t="s">
        <v>203</v>
      </c>
      <c r="F48">
        <v>70</v>
      </c>
      <c r="I48" t="s">
        <v>216</v>
      </c>
      <c r="J48">
        <v>32</v>
      </c>
    </row>
    <row r="49" spans="2:10" ht="16.5" x14ac:dyDescent="0.6">
      <c r="E49" s="13" t="s">
        <v>204</v>
      </c>
      <c r="F49">
        <v>300</v>
      </c>
      <c r="I49" t="s">
        <v>217</v>
      </c>
      <c r="J49">
        <v>46</v>
      </c>
    </row>
    <row r="50" spans="2:10" ht="16.5" x14ac:dyDescent="0.6">
      <c r="E50" s="13" t="s">
        <v>206</v>
      </c>
      <c r="F50">
        <v>100</v>
      </c>
      <c r="I50" t="s">
        <v>24</v>
      </c>
      <c r="J50">
        <v>20914</v>
      </c>
    </row>
    <row r="51" spans="2:10" x14ac:dyDescent="0.5">
      <c r="I51" t="s">
        <v>219</v>
      </c>
      <c r="J51">
        <v>357</v>
      </c>
    </row>
    <row r="52" spans="2:10" x14ac:dyDescent="0.5">
      <c r="J52">
        <v>300</v>
      </c>
    </row>
    <row r="54" spans="2:10" x14ac:dyDescent="0.5">
      <c r="F54">
        <f>SUM(F40:F50)</f>
        <v>4687</v>
      </c>
    </row>
    <row r="62" spans="2:10" x14ac:dyDescent="0.5">
      <c r="B62" s="7" t="s">
        <v>2</v>
      </c>
      <c r="C62" s="4">
        <v>1900</v>
      </c>
    </row>
    <row r="98" spans="2:16" x14ac:dyDescent="0.5">
      <c r="B98">
        <v>3000</v>
      </c>
    </row>
    <row r="99" spans="2:16" x14ac:dyDescent="0.5">
      <c r="B99">
        <v>2500</v>
      </c>
      <c r="J99">
        <v>3000</v>
      </c>
    </row>
    <row r="100" spans="2:16" x14ac:dyDescent="0.5">
      <c r="B100">
        <v>2500</v>
      </c>
      <c r="J100">
        <v>600</v>
      </c>
    </row>
    <row r="101" spans="2:16" x14ac:dyDescent="0.5">
      <c r="B101">
        <v>800</v>
      </c>
    </row>
    <row r="102" spans="2:16" x14ac:dyDescent="0.5">
      <c r="B102">
        <v>700</v>
      </c>
    </row>
    <row r="106" spans="2:16" x14ac:dyDescent="0.5">
      <c r="B106">
        <f>SUM(B98:B102)</f>
        <v>9500</v>
      </c>
      <c r="D106">
        <f>B106-7000</f>
        <v>2500</v>
      </c>
    </row>
    <row r="107" spans="2:16" x14ac:dyDescent="0.5">
      <c r="P107">
        <v>126</v>
      </c>
    </row>
    <row r="108" spans="2:16" x14ac:dyDescent="0.5">
      <c r="P108" s="4">
        <v>12</v>
      </c>
    </row>
    <row r="109" spans="2:16" x14ac:dyDescent="0.5">
      <c r="P109" s="4">
        <v>10</v>
      </c>
    </row>
    <row r="110" spans="2:16" x14ac:dyDescent="0.5">
      <c r="P110" s="4">
        <v>20</v>
      </c>
    </row>
    <row r="111" spans="2:16" x14ac:dyDescent="0.5">
      <c r="P111" s="4">
        <v>20</v>
      </c>
    </row>
    <row r="112" spans="2:16" x14ac:dyDescent="0.5">
      <c r="P112" s="4">
        <v>20</v>
      </c>
    </row>
    <row r="113" spans="5:16" x14ac:dyDescent="0.5">
      <c r="P113" s="4">
        <v>3.99</v>
      </c>
    </row>
    <row r="114" spans="5:16" x14ac:dyDescent="0.5">
      <c r="P114" s="4">
        <v>100</v>
      </c>
    </row>
    <row r="115" spans="5:16" x14ac:dyDescent="0.5">
      <c r="E115">
        <v>1400</v>
      </c>
      <c r="P115" s="4">
        <v>75</v>
      </c>
    </row>
    <row r="116" spans="5:16" x14ac:dyDescent="0.5">
      <c r="E116">
        <v>1300</v>
      </c>
      <c r="P116" s="4">
        <v>60</v>
      </c>
    </row>
    <row r="117" spans="5:16" x14ac:dyDescent="0.5">
      <c r="E117">
        <v>950</v>
      </c>
      <c r="P117" s="4"/>
    </row>
    <row r="118" spans="5:16" x14ac:dyDescent="0.5">
      <c r="P118" s="4">
        <v>70</v>
      </c>
    </row>
    <row r="121" spans="5:16" x14ac:dyDescent="0.5">
      <c r="E121">
        <f>SUM(E115:E119)</f>
        <v>3650</v>
      </c>
    </row>
    <row r="125" spans="5:16" x14ac:dyDescent="0.5">
      <c r="P125">
        <f>SUM(P105:P122)</f>
        <v>516.99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9FC95-1DF9-4C8F-9F0D-8BF0D77A130D}">
  <sheetPr codeName="Feuil19"/>
  <dimension ref="A1:T125"/>
  <sheetViews>
    <sheetView topLeftCell="A2" workbookViewId="0">
      <selection activeCell="C13" sqref="A1:XFD1048576"/>
    </sheetView>
  </sheetViews>
  <sheetFormatPr baseColWidth="10" defaultRowHeight="15.75" x14ac:dyDescent="0.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0" x14ac:dyDescent="0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x14ac:dyDescent="0.5">
      <c r="A3" s="3"/>
      <c r="B3" s="2"/>
      <c r="C3" s="4"/>
      <c r="D3" s="4"/>
      <c r="E3" s="4"/>
      <c r="F3" s="4"/>
      <c r="G3" s="4"/>
      <c r="H3" s="4" t="s">
        <v>59</v>
      </c>
      <c r="I3" s="4" t="s">
        <v>60</v>
      </c>
      <c r="J3" s="5"/>
      <c r="K3" s="4"/>
      <c r="L3" s="4"/>
      <c r="M3" s="4"/>
      <c r="N3" s="4"/>
      <c r="O3" s="4"/>
      <c r="P3" s="4"/>
      <c r="Q3" s="4"/>
      <c r="R3" s="4"/>
      <c r="S3" s="5"/>
    </row>
    <row r="4" spans="1:20" x14ac:dyDescent="0.5">
      <c r="A4" s="3"/>
      <c r="B4" s="2"/>
      <c r="C4" s="4"/>
      <c r="D4" s="4"/>
      <c r="E4" s="6" t="s">
        <v>19</v>
      </c>
      <c r="F4" s="7" t="s">
        <v>5</v>
      </c>
      <c r="G4" s="4"/>
      <c r="H4" s="4">
        <v>3145</v>
      </c>
      <c r="I4" s="4"/>
      <c r="J4" s="5"/>
      <c r="K4" s="4"/>
      <c r="L4" s="4"/>
      <c r="M4" s="6" t="s">
        <v>20</v>
      </c>
      <c r="N4" s="7" t="s">
        <v>5</v>
      </c>
      <c r="O4" s="4">
        <v>1480</v>
      </c>
      <c r="P4" s="4"/>
      <c r="Q4" s="4"/>
      <c r="R4" s="4"/>
      <c r="S4" s="5"/>
    </row>
    <row r="5" spans="1:20" x14ac:dyDescent="0.5">
      <c r="A5" s="3"/>
      <c r="B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5"/>
    </row>
    <row r="6" spans="1:20" x14ac:dyDescent="0.5">
      <c r="A6" s="3"/>
      <c r="B6" s="2"/>
      <c r="C6" s="7" t="s">
        <v>16</v>
      </c>
      <c r="D6" s="8"/>
      <c r="E6" s="7" t="s">
        <v>17</v>
      </c>
      <c r="F6" s="8"/>
      <c r="G6" s="7"/>
      <c r="H6" s="7" t="s">
        <v>18</v>
      </c>
      <c r="I6" s="7"/>
      <c r="J6" s="5"/>
      <c r="K6" s="7" t="s">
        <v>16</v>
      </c>
      <c r="L6" s="8"/>
      <c r="M6" s="7" t="s">
        <v>17</v>
      </c>
      <c r="N6" s="8"/>
      <c r="O6" s="7"/>
      <c r="P6" s="7" t="s">
        <v>18</v>
      </c>
      <c r="Q6" s="7"/>
      <c r="R6" s="4"/>
      <c r="S6" s="5"/>
    </row>
    <row r="7" spans="1:20" x14ac:dyDescent="0.5">
      <c r="A7" s="3"/>
      <c r="B7" s="2" t="s">
        <v>46</v>
      </c>
      <c r="C7" s="4"/>
      <c r="D7" s="4"/>
      <c r="E7" s="2" t="s">
        <v>0</v>
      </c>
      <c r="F7" s="4">
        <v>1012</v>
      </c>
      <c r="G7" s="4"/>
      <c r="H7" s="2"/>
      <c r="I7" s="4"/>
      <c r="J7" s="5"/>
      <c r="K7" s="4"/>
      <c r="L7" s="4"/>
      <c r="M7" s="2" t="s">
        <v>26</v>
      </c>
      <c r="N7" s="4">
        <v>150</v>
      </c>
      <c r="O7" s="4"/>
      <c r="P7" s="2"/>
      <c r="Q7" s="4"/>
      <c r="R7" s="4"/>
      <c r="S7" s="5"/>
    </row>
    <row r="8" spans="1:20" x14ac:dyDescent="0.5">
      <c r="A8" s="3"/>
      <c r="B8" s="2"/>
      <c r="C8" s="4" t="s">
        <v>63</v>
      </c>
      <c r="D8" s="4"/>
      <c r="E8" s="2" t="s">
        <v>220</v>
      </c>
      <c r="F8" s="4"/>
      <c r="G8" s="4"/>
      <c r="H8" s="2"/>
      <c r="I8" s="4"/>
      <c r="J8" s="5"/>
      <c r="K8" s="4"/>
      <c r="L8" s="4"/>
      <c r="M8" s="2" t="s">
        <v>49</v>
      </c>
      <c r="N8" s="4">
        <v>200</v>
      </c>
      <c r="O8" s="4"/>
      <c r="P8" s="2"/>
      <c r="Q8" s="4"/>
      <c r="R8" s="4"/>
      <c r="S8" s="5"/>
      <c r="T8">
        <v>50</v>
      </c>
    </row>
    <row r="9" spans="1:20" x14ac:dyDescent="0.5">
      <c r="A9" s="3"/>
      <c r="B9" s="2" t="s">
        <v>15</v>
      </c>
      <c r="C9" s="4">
        <v>200</v>
      </c>
      <c r="D9" s="4"/>
      <c r="E9" s="2" t="s">
        <v>235</v>
      </c>
      <c r="F9" s="4">
        <v>96</v>
      </c>
      <c r="G9" s="4"/>
      <c r="H9" s="2"/>
      <c r="I9" s="4"/>
      <c r="J9" s="5"/>
      <c r="K9" s="4"/>
      <c r="L9" s="4"/>
      <c r="M9" s="2" t="s">
        <v>50</v>
      </c>
      <c r="N9" s="4">
        <v>200</v>
      </c>
      <c r="O9" s="4"/>
      <c r="P9" s="2"/>
      <c r="Q9" s="4"/>
      <c r="R9" s="4"/>
      <c r="S9" s="5"/>
      <c r="T9">
        <v>200</v>
      </c>
    </row>
    <row r="10" spans="1:20" x14ac:dyDescent="0.5">
      <c r="A10" s="3"/>
      <c r="B10" s="2" t="s">
        <v>221</v>
      </c>
      <c r="C10" s="4">
        <v>0</v>
      </c>
      <c r="D10" s="4"/>
      <c r="E10" s="2" t="s">
        <v>187</v>
      </c>
      <c r="F10" s="4">
        <v>50</v>
      </c>
      <c r="G10" s="4"/>
      <c r="H10" s="2"/>
      <c r="I10" s="4"/>
      <c r="J10" s="5"/>
      <c r="K10" s="4"/>
      <c r="L10" s="4"/>
      <c r="M10" s="2" t="s">
        <v>51</v>
      </c>
      <c r="N10" s="4">
        <v>300</v>
      </c>
      <c r="O10" s="4"/>
      <c r="P10" s="2"/>
      <c r="Q10" s="4"/>
      <c r="R10" s="4"/>
      <c r="S10" s="5"/>
      <c r="T10">
        <v>150</v>
      </c>
    </row>
    <row r="11" spans="1:20" x14ac:dyDescent="0.5">
      <c r="A11" s="3"/>
      <c r="B11" s="2" t="s">
        <v>195</v>
      </c>
      <c r="C11" s="4">
        <v>39</v>
      </c>
      <c r="D11" s="4"/>
      <c r="E11" s="2" t="s">
        <v>1</v>
      </c>
      <c r="F11" s="4">
        <v>157</v>
      </c>
      <c r="G11" s="4"/>
      <c r="J11" s="5"/>
      <c r="K11" s="4"/>
      <c r="L11" s="4"/>
      <c r="M11" s="2" t="s">
        <v>52</v>
      </c>
      <c r="N11" s="4">
        <v>100</v>
      </c>
      <c r="O11" s="4"/>
      <c r="P11" s="2"/>
      <c r="Q11" s="4"/>
      <c r="R11" s="4"/>
      <c r="S11" s="5"/>
      <c r="T11">
        <v>160</v>
      </c>
    </row>
    <row r="12" spans="1:20" x14ac:dyDescent="0.5">
      <c r="A12" s="3"/>
      <c r="B12" s="2" t="s">
        <v>223</v>
      </c>
      <c r="C12" s="4"/>
      <c r="D12" s="4"/>
      <c r="E12" s="2" t="s">
        <v>9</v>
      </c>
      <c r="F12" s="4">
        <v>300</v>
      </c>
      <c r="G12" s="4"/>
      <c r="J12" s="5"/>
      <c r="K12" s="4"/>
      <c r="L12" s="4"/>
      <c r="M12" s="2" t="s">
        <v>53</v>
      </c>
      <c r="N12" s="4">
        <v>13</v>
      </c>
      <c r="O12" s="4"/>
      <c r="P12" s="2"/>
      <c r="Q12" s="4"/>
      <c r="R12" s="4"/>
      <c r="S12" s="5"/>
    </row>
    <row r="13" spans="1:20" x14ac:dyDescent="0.5">
      <c r="A13" s="3"/>
      <c r="B13" s="2" t="s">
        <v>297</v>
      </c>
      <c r="C13" s="4"/>
      <c r="D13" s="4"/>
      <c r="E13" s="2" t="s">
        <v>235</v>
      </c>
      <c r="F13" s="4">
        <v>52</v>
      </c>
      <c r="G13" s="4"/>
      <c r="J13" s="5"/>
      <c r="K13" s="4"/>
      <c r="L13" s="4"/>
      <c r="M13" s="2" t="s">
        <v>54</v>
      </c>
      <c r="N13" s="4">
        <v>13</v>
      </c>
      <c r="O13" s="4"/>
      <c r="P13" s="2"/>
      <c r="Q13" s="4"/>
      <c r="R13" s="4"/>
      <c r="S13" s="5"/>
    </row>
    <row r="14" spans="1:20" x14ac:dyDescent="0.5">
      <c r="A14" s="3"/>
      <c r="B14" s="2" t="s">
        <v>257</v>
      </c>
      <c r="C14" s="4"/>
      <c r="D14" s="4"/>
      <c r="E14" s="2" t="s">
        <v>14</v>
      </c>
      <c r="F14" s="4">
        <v>13</v>
      </c>
      <c r="G14" s="4"/>
      <c r="J14" s="5"/>
      <c r="K14" s="4"/>
      <c r="L14" s="4"/>
      <c r="M14" s="2"/>
      <c r="N14" s="4"/>
      <c r="O14" s="4"/>
      <c r="P14" s="2"/>
      <c r="Q14" s="4"/>
      <c r="R14" s="4"/>
      <c r="S14" s="5"/>
      <c r="T14">
        <f>SUM(T8:T11)</f>
        <v>560</v>
      </c>
    </row>
    <row r="15" spans="1:20" x14ac:dyDescent="0.5">
      <c r="A15" s="3"/>
      <c r="B15" s="2" t="s">
        <v>258</v>
      </c>
      <c r="C15" s="4"/>
      <c r="D15" s="4"/>
      <c r="E15" s="2" t="s">
        <v>56</v>
      </c>
      <c r="F15" s="4">
        <v>100</v>
      </c>
      <c r="G15" s="4"/>
      <c r="H15" s="2"/>
      <c r="I15" s="4"/>
      <c r="J15" s="5"/>
      <c r="K15" s="4"/>
      <c r="L15" s="4"/>
      <c r="M15" s="2"/>
      <c r="N15" s="4"/>
      <c r="O15" s="4"/>
      <c r="P15" s="2"/>
      <c r="Q15" s="4"/>
      <c r="R15" s="4"/>
      <c r="S15" s="5"/>
    </row>
    <row r="16" spans="1:20" x14ac:dyDescent="0.5">
      <c r="A16" s="3"/>
      <c r="B16" s="2" t="s">
        <v>260</v>
      </c>
      <c r="C16" s="4">
        <v>247</v>
      </c>
      <c r="D16" s="4"/>
      <c r="E16" s="2" t="s">
        <v>222</v>
      </c>
      <c r="F16" s="4">
        <v>131</v>
      </c>
      <c r="G16" s="4"/>
      <c r="H16" s="4"/>
      <c r="I16" s="4"/>
      <c r="J16" s="5"/>
      <c r="K16" s="4"/>
      <c r="L16" s="4"/>
      <c r="M16" s="2"/>
      <c r="N16" s="4"/>
      <c r="O16" s="4"/>
      <c r="P16" s="4"/>
      <c r="Q16" s="4"/>
      <c r="R16" s="4"/>
      <c r="S16" s="5"/>
    </row>
    <row r="17" spans="1:19" x14ac:dyDescent="0.5">
      <c r="A17" s="3"/>
      <c r="B17" s="2" t="s">
        <v>150</v>
      </c>
      <c r="C17" s="4"/>
      <c r="D17" s="4"/>
      <c r="E17" s="2"/>
      <c r="F17" s="4"/>
      <c r="G17" s="4"/>
      <c r="H17" s="4"/>
      <c r="I17" s="4"/>
      <c r="J17" s="5"/>
      <c r="K17" s="4"/>
      <c r="L17" s="4"/>
      <c r="M17" s="2"/>
      <c r="N17" s="4"/>
      <c r="O17" s="4"/>
      <c r="P17" s="4"/>
      <c r="Q17" s="4"/>
      <c r="R17" s="4"/>
      <c r="S17" s="5"/>
    </row>
    <row r="18" spans="1:19" x14ac:dyDescent="0.5">
      <c r="A18" s="3"/>
      <c r="B18" s="2" t="s">
        <v>299</v>
      </c>
      <c r="C18" s="4"/>
      <c r="D18" s="4"/>
      <c r="E18" s="2"/>
      <c r="F18" s="4"/>
      <c r="G18" s="4"/>
      <c r="H18" s="4"/>
      <c r="I18" s="4"/>
      <c r="J18" s="5"/>
      <c r="K18" s="4"/>
      <c r="L18" s="4"/>
      <c r="M18" s="2"/>
      <c r="N18" s="4"/>
      <c r="O18" s="4"/>
      <c r="P18" s="4"/>
      <c r="Q18" s="4"/>
      <c r="R18" s="4"/>
      <c r="S18" s="5"/>
    </row>
    <row r="19" spans="1:19" x14ac:dyDescent="0.5">
      <c r="A19" s="3"/>
      <c r="B19" s="4"/>
      <c r="C19" s="4"/>
      <c r="D19" s="4"/>
      <c r="E19" s="2"/>
      <c r="F19" s="4"/>
      <c r="G19" s="4"/>
      <c r="H19" s="4"/>
      <c r="I19" s="4"/>
      <c r="J19" s="5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5">
      <c r="A20" s="3"/>
      <c r="B20" s="4"/>
      <c r="C20" s="4"/>
      <c r="D20" s="4"/>
      <c r="E20" s="4"/>
      <c r="F20" s="4"/>
      <c r="G20" s="4"/>
      <c r="H20" s="4"/>
      <c r="I20" s="4"/>
      <c r="J20" s="5"/>
      <c r="K20" s="4"/>
      <c r="L20" s="4"/>
      <c r="M20" s="4"/>
      <c r="N20" s="4"/>
      <c r="O20" s="4"/>
      <c r="P20" s="4"/>
      <c r="Q20" s="4"/>
      <c r="R20" s="4"/>
      <c r="S20" s="5"/>
    </row>
    <row r="21" spans="1:19" x14ac:dyDescent="0.5">
      <c r="A21" s="3"/>
      <c r="B21" s="4"/>
      <c r="C21" s="4"/>
      <c r="D21" s="4"/>
      <c r="G21" s="4"/>
      <c r="H21" s="4"/>
      <c r="I21" s="4"/>
      <c r="J21" s="5"/>
      <c r="K21" s="4"/>
      <c r="L21" s="4"/>
      <c r="M21" s="4"/>
      <c r="N21" s="4"/>
      <c r="O21" s="4"/>
      <c r="P21" s="4"/>
      <c r="Q21" s="4"/>
      <c r="R21" s="4"/>
      <c r="S21" s="5"/>
    </row>
    <row r="22" spans="1:19" x14ac:dyDescent="0.5">
      <c r="A22" s="3"/>
      <c r="B22" s="7" t="s">
        <v>4</v>
      </c>
      <c r="C22" s="4">
        <f>SUM(C7:C19)</f>
        <v>486</v>
      </c>
      <c r="D22" s="4"/>
      <c r="E22" s="4"/>
      <c r="F22" s="4">
        <f>SUM(F7:F20)+150</f>
        <v>2061</v>
      </c>
      <c r="G22" s="4"/>
      <c r="H22" s="4"/>
      <c r="I22" s="4">
        <f>SUM(I7:I19)</f>
        <v>0</v>
      </c>
      <c r="J22" s="5"/>
      <c r="K22" s="4"/>
      <c r="L22" s="4"/>
      <c r="M22" s="4"/>
      <c r="N22" s="4">
        <f>SUM(N7:N19)</f>
        <v>976</v>
      </c>
      <c r="O22" s="4"/>
      <c r="P22" s="4"/>
      <c r="Q22" s="4">
        <f>SUM(Q7:Q18)</f>
        <v>0</v>
      </c>
      <c r="R22" s="4"/>
      <c r="S22" s="5"/>
    </row>
    <row r="23" spans="1:19" x14ac:dyDescent="0.5">
      <c r="A23" s="3"/>
      <c r="B23" s="4"/>
      <c r="C23" s="4"/>
      <c r="D23" s="4"/>
      <c r="E23" s="4"/>
      <c r="F23" s="4"/>
      <c r="G23" s="4"/>
      <c r="H23" s="4"/>
      <c r="I23" s="4"/>
      <c r="J23" s="5"/>
      <c r="K23" s="4"/>
      <c r="L23" s="4"/>
      <c r="M23" s="4"/>
      <c r="N23" s="4"/>
      <c r="O23" s="4"/>
      <c r="P23" s="4"/>
      <c r="Q23" s="4"/>
      <c r="R23" s="4"/>
      <c r="S23" s="5"/>
    </row>
    <row r="24" spans="1:19" x14ac:dyDescent="0.5">
      <c r="A24" s="3"/>
      <c r="B24" s="4"/>
      <c r="C24" s="4"/>
      <c r="D24" s="4"/>
      <c r="E24" s="4"/>
      <c r="F24" s="4"/>
      <c r="G24" s="4"/>
      <c r="H24" s="4"/>
      <c r="I24" s="4"/>
      <c r="J24" s="5"/>
      <c r="K24" s="4"/>
      <c r="L24" s="4"/>
      <c r="M24" s="4"/>
      <c r="N24" s="4"/>
      <c r="O24" s="4"/>
      <c r="P24" s="4"/>
      <c r="Q24" s="4"/>
      <c r="R24" s="4"/>
      <c r="S24" s="5"/>
    </row>
    <row r="25" spans="1:19" x14ac:dyDescent="0.5">
      <c r="A25" s="3"/>
      <c r="B25" s="4"/>
      <c r="C25" s="4"/>
      <c r="D25" s="4"/>
      <c r="E25" s="4"/>
      <c r="F25" s="4"/>
      <c r="G25" s="4"/>
      <c r="H25" s="4"/>
      <c r="I25" s="4"/>
      <c r="J25" s="5"/>
      <c r="K25" s="4"/>
      <c r="L25" s="4"/>
      <c r="M25" s="4"/>
      <c r="N25" s="4"/>
      <c r="O25" s="4"/>
      <c r="P25" s="4"/>
      <c r="Q25" s="4"/>
      <c r="R25" s="4"/>
      <c r="S25" s="5"/>
    </row>
    <row r="26" spans="1:19" x14ac:dyDescent="0.5">
      <c r="A26" s="3"/>
      <c r="B26" s="4"/>
      <c r="C26" s="7" t="s">
        <v>8</v>
      </c>
      <c r="D26" s="4">
        <f>C22+F22+I22</f>
        <v>2547</v>
      </c>
      <c r="E26" s="4"/>
      <c r="F26" s="4"/>
      <c r="G26" s="4"/>
      <c r="H26" s="4"/>
      <c r="I26" s="4"/>
      <c r="J26" s="5"/>
      <c r="K26" s="7" t="s">
        <v>4</v>
      </c>
      <c r="L26" s="4"/>
      <c r="M26" s="4"/>
      <c r="N26" s="4"/>
      <c r="O26" s="4"/>
      <c r="P26" s="4">
        <f>N22+Q22</f>
        <v>976</v>
      </c>
      <c r="Q26" s="4"/>
      <c r="R26" s="4"/>
      <c r="S26" s="5"/>
    </row>
    <row r="27" spans="1:19" x14ac:dyDescent="0.5">
      <c r="A27" s="3"/>
      <c r="B27" s="4"/>
      <c r="C27" s="4"/>
      <c r="D27" s="4"/>
      <c r="E27" s="4"/>
      <c r="F27" s="4"/>
      <c r="G27" s="4"/>
      <c r="H27" s="4"/>
      <c r="I27" s="4"/>
      <c r="J27" s="5"/>
      <c r="K27" s="4"/>
      <c r="L27" s="4"/>
      <c r="M27" s="4"/>
      <c r="N27" s="4"/>
      <c r="O27" s="4"/>
      <c r="P27" s="4"/>
      <c r="Q27" s="4"/>
      <c r="R27" s="4"/>
      <c r="S27" s="5"/>
    </row>
    <row r="28" spans="1:19" x14ac:dyDescent="0.5">
      <c r="A28" s="3"/>
      <c r="B28" s="4"/>
      <c r="C28" s="4"/>
      <c r="D28" s="4"/>
      <c r="E28" s="4"/>
      <c r="F28" s="4"/>
      <c r="G28" s="4"/>
      <c r="H28" s="4"/>
      <c r="I28" s="4"/>
      <c r="J28" s="5"/>
      <c r="K28" s="4"/>
      <c r="L28" s="4"/>
      <c r="M28" s="4"/>
      <c r="N28" s="4"/>
      <c r="O28" s="4"/>
      <c r="P28" s="4"/>
      <c r="Q28" s="4"/>
      <c r="R28" s="4"/>
      <c r="S28" s="5"/>
    </row>
    <row r="29" spans="1:19" x14ac:dyDescent="0.5">
      <c r="A29" s="3"/>
      <c r="B29" s="7" t="s">
        <v>74</v>
      </c>
      <c r="C29" s="4">
        <f>ABS(G4-D26)</f>
        <v>2547</v>
      </c>
      <c r="D29" s="4"/>
      <c r="E29" s="4"/>
      <c r="F29" s="4"/>
      <c r="G29" s="4"/>
      <c r="H29" s="4"/>
      <c r="I29" s="4"/>
      <c r="J29" s="5"/>
      <c r="K29" s="7" t="s">
        <v>21</v>
      </c>
      <c r="L29" s="4">
        <f>O4-P26</f>
        <v>504</v>
      </c>
      <c r="M29" s="4"/>
      <c r="N29" s="4"/>
      <c r="O29" s="4"/>
      <c r="P29" s="4"/>
      <c r="Q29" s="4"/>
      <c r="R29" s="4"/>
      <c r="S29" s="5"/>
    </row>
    <row r="30" spans="1:19" x14ac:dyDescent="0.5">
      <c r="A30" s="3"/>
      <c r="B30" s="4"/>
      <c r="C30" s="4"/>
      <c r="D30" s="4"/>
      <c r="E30" s="4"/>
      <c r="F30" s="4"/>
      <c r="G30" s="4"/>
      <c r="H30" s="4"/>
      <c r="I30" s="4"/>
      <c r="J30" s="5"/>
      <c r="K30" s="4"/>
      <c r="L30" s="4"/>
      <c r="M30" s="4"/>
      <c r="N30" s="4"/>
      <c r="O30" s="4"/>
      <c r="P30" s="4"/>
      <c r="Q30" s="4"/>
      <c r="R30" s="4"/>
      <c r="S30" s="5"/>
    </row>
    <row r="31" spans="1:19" x14ac:dyDescent="0.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 x14ac:dyDescent="0.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5">
      <c r="A34" s="2"/>
      <c r="B34" s="7" t="s">
        <v>25</v>
      </c>
      <c r="C34" s="4">
        <f>H4-D26</f>
        <v>598</v>
      </c>
      <c r="D34" s="4"/>
      <c r="E34" s="4"/>
      <c r="F34" s="4"/>
      <c r="G34" s="4"/>
      <c r="H34" s="4"/>
      <c r="I34" s="4"/>
      <c r="J34" s="4">
        <f>C29+L29</f>
        <v>3051</v>
      </c>
      <c r="K34" s="4"/>
      <c r="L34" s="4"/>
      <c r="M34" s="4"/>
      <c r="N34" s="4"/>
      <c r="O34" s="4"/>
      <c r="P34" s="4"/>
      <c r="Q34" s="4"/>
      <c r="R34" s="4"/>
      <c r="S34" s="4"/>
    </row>
    <row r="35" spans="1:19" x14ac:dyDescent="0.5">
      <c r="A35" s="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x14ac:dyDescent="0.5">
      <c r="E36">
        <f>5.2+13.8+10.96+13+13+21+6.99+47+62+12+68+40</f>
        <v>312.95</v>
      </c>
    </row>
    <row r="39" spans="1:19" x14ac:dyDescent="0.5">
      <c r="I39" t="s">
        <v>208</v>
      </c>
      <c r="J39">
        <v>39</v>
      </c>
      <c r="L39" t="s">
        <v>214</v>
      </c>
      <c r="M39">
        <f>SUM(J39:J58)</f>
        <v>22002</v>
      </c>
    </row>
    <row r="40" spans="1:19" ht="16.5" x14ac:dyDescent="0.6">
      <c r="E40" s="13" t="s">
        <v>196</v>
      </c>
      <c r="F40">
        <v>500</v>
      </c>
      <c r="I40" t="s">
        <v>209</v>
      </c>
      <c r="J40">
        <v>100</v>
      </c>
    </row>
    <row r="41" spans="1:19" ht="16.5" x14ac:dyDescent="0.6">
      <c r="E41" s="13" t="s">
        <v>197</v>
      </c>
      <c r="F41">
        <v>800</v>
      </c>
      <c r="I41" t="s">
        <v>210</v>
      </c>
      <c r="J41">
        <v>21</v>
      </c>
    </row>
    <row r="42" spans="1:19" ht="16.5" x14ac:dyDescent="0.6">
      <c r="E42" s="13" t="s">
        <v>198</v>
      </c>
      <c r="F42">
        <v>200</v>
      </c>
      <c r="I42" t="s">
        <v>211</v>
      </c>
      <c r="J42">
        <v>20</v>
      </c>
    </row>
    <row r="43" spans="1:19" ht="16.5" x14ac:dyDescent="0.6">
      <c r="E43" s="13" t="s">
        <v>199</v>
      </c>
      <c r="F43">
        <v>2000</v>
      </c>
      <c r="I43" t="s">
        <v>212</v>
      </c>
      <c r="J43">
        <v>20</v>
      </c>
    </row>
    <row r="44" spans="1:19" ht="16.5" x14ac:dyDescent="0.6">
      <c r="E44" s="13" t="s">
        <v>205</v>
      </c>
      <c r="F44">
        <v>500</v>
      </c>
      <c r="I44" t="s">
        <v>212</v>
      </c>
      <c r="J44">
        <v>27</v>
      </c>
    </row>
    <row r="45" spans="1:19" ht="16.5" x14ac:dyDescent="0.6">
      <c r="E45" s="13" t="s">
        <v>200</v>
      </c>
      <c r="F45">
        <v>100</v>
      </c>
      <c r="I45" t="s">
        <v>213</v>
      </c>
      <c r="J45">
        <v>67</v>
      </c>
    </row>
    <row r="46" spans="1:19" ht="16.5" x14ac:dyDescent="0.6">
      <c r="E46" s="13" t="s">
        <v>201</v>
      </c>
      <c r="F46">
        <v>67</v>
      </c>
      <c r="I46" t="s">
        <v>22</v>
      </c>
      <c r="J46">
        <v>28</v>
      </c>
    </row>
    <row r="47" spans="1:19" ht="16.5" x14ac:dyDescent="0.6">
      <c r="E47" s="13" t="s">
        <v>202</v>
      </c>
      <c r="F47">
        <v>50</v>
      </c>
      <c r="I47" t="s">
        <v>215</v>
      </c>
      <c r="J47">
        <v>31</v>
      </c>
    </row>
    <row r="48" spans="1:19" ht="16.5" x14ac:dyDescent="0.6">
      <c r="E48" s="13" t="s">
        <v>203</v>
      </c>
      <c r="F48">
        <v>70</v>
      </c>
      <c r="I48" t="s">
        <v>216</v>
      </c>
      <c r="J48">
        <v>32</v>
      </c>
    </row>
    <row r="49" spans="2:10" ht="16.5" x14ac:dyDescent="0.6">
      <c r="E49" s="13" t="s">
        <v>204</v>
      </c>
      <c r="F49">
        <v>300</v>
      </c>
      <c r="I49" t="s">
        <v>217</v>
      </c>
      <c r="J49">
        <v>46</v>
      </c>
    </row>
    <row r="50" spans="2:10" ht="16.5" x14ac:dyDescent="0.6">
      <c r="E50" s="13" t="s">
        <v>206</v>
      </c>
      <c r="F50">
        <v>100</v>
      </c>
      <c r="I50" t="s">
        <v>24</v>
      </c>
      <c r="J50">
        <v>20914</v>
      </c>
    </row>
    <row r="51" spans="2:10" x14ac:dyDescent="0.5">
      <c r="I51" t="s">
        <v>219</v>
      </c>
      <c r="J51">
        <v>357</v>
      </c>
    </row>
    <row r="52" spans="2:10" x14ac:dyDescent="0.5">
      <c r="J52">
        <v>300</v>
      </c>
    </row>
    <row r="54" spans="2:10" x14ac:dyDescent="0.5">
      <c r="F54">
        <f>SUM(F40:F50)</f>
        <v>4687</v>
      </c>
    </row>
    <row r="62" spans="2:10" x14ac:dyDescent="0.5">
      <c r="B62" s="7" t="s">
        <v>2</v>
      </c>
      <c r="C62" s="4">
        <v>1900</v>
      </c>
    </row>
    <row r="98" spans="2:16" x14ac:dyDescent="0.5">
      <c r="B98">
        <v>3000</v>
      </c>
    </row>
    <row r="99" spans="2:16" x14ac:dyDescent="0.5">
      <c r="B99">
        <v>2500</v>
      </c>
      <c r="J99">
        <v>3000</v>
      </c>
    </row>
    <row r="100" spans="2:16" x14ac:dyDescent="0.5">
      <c r="B100">
        <v>2500</v>
      </c>
      <c r="J100">
        <v>600</v>
      </c>
    </row>
    <row r="101" spans="2:16" x14ac:dyDescent="0.5">
      <c r="B101">
        <v>800</v>
      </c>
    </row>
    <row r="102" spans="2:16" x14ac:dyDescent="0.5">
      <c r="B102">
        <v>700</v>
      </c>
    </row>
    <row r="106" spans="2:16" x14ac:dyDescent="0.5">
      <c r="B106">
        <f>SUM(B98:B102)</f>
        <v>9500</v>
      </c>
      <c r="D106">
        <f>B106-7000</f>
        <v>2500</v>
      </c>
    </row>
    <row r="107" spans="2:16" x14ac:dyDescent="0.5">
      <c r="P107">
        <v>126</v>
      </c>
    </row>
    <row r="108" spans="2:16" x14ac:dyDescent="0.5">
      <c r="P108" s="4">
        <v>12</v>
      </c>
    </row>
    <row r="109" spans="2:16" x14ac:dyDescent="0.5">
      <c r="P109" s="4">
        <v>10</v>
      </c>
    </row>
    <row r="110" spans="2:16" x14ac:dyDescent="0.5">
      <c r="P110" s="4">
        <v>20</v>
      </c>
    </row>
    <row r="111" spans="2:16" x14ac:dyDescent="0.5">
      <c r="P111" s="4">
        <v>20</v>
      </c>
    </row>
    <row r="112" spans="2:16" x14ac:dyDescent="0.5">
      <c r="P112" s="4">
        <v>20</v>
      </c>
    </row>
    <row r="113" spans="5:16" x14ac:dyDescent="0.5">
      <c r="P113" s="4">
        <v>3.99</v>
      </c>
    </row>
    <row r="114" spans="5:16" x14ac:dyDescent="0.5">
      <c r="P114" s="4">
        <v>100</v>
      </c>
    </row>
    <row r="115" spans="5:16" x14ac:dyDescent="0.5">
      <c r="E115">
        <v>1400</v>
      </c>
      <c r="P115" s="4">
        <v>75</v>
      </c>
    </row>
    <row r="116" spans="5:16" x14ac:dyDescent="0.5">
      <c r="E116">
        <v>1300</v>
      </c>
      <c r="P116" s="4">
        <v>60</v>
      </c>
    </row>
    <row r="117" spans="5:16" x14ac:dyDescent="0.5">
      <c r="E117">
        <v>950</v>
      </c>
      <c r="P117" s="4"/>
    </row>
    <row r="118" spans="5:16" x14ac:dyDescent="0.5">
      <c r="P118" s="4">
        <v>70</v>
      </c>
    </row>
    <row r="121" spans="5:16" x14ac:dyDescent="0.5">
      <c r="E121">
        <f>SUM(E115:E119)</f>
        <v>3650</v>
      </c>
    </row>
    <row r="125" spans="5:16" x14ac:dyDescent="0.5">
      <c r="P125">
        <f>SUM(P105:P122)</f>
        <v>516.99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474C9-5FCD-4AA4-B4FC-6451FD68E67A}">
  <dimension ref="A1:T125"/>
  <sheetViews>
    <sheetView workbookViewId="0">
      <selection activeCell="C13" sqref="A1:XFD1048576"/>
    </sheetView>
  </sheetViews>
  <sheetFormatPr baseColWidth="10" defaultRowHeight="15.75" x14ac:dyDescent="0.5"/>
  <cols>
    <col min="2" max="2" width="11.625" bestFit="1" customWidth="1"/>
    <col min="5" max="5" width="20.125" customWidth="1"/>
    <col min="8" max="8" width="15.25" bestFit="1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0" x14ac:dyDescent="0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x14ac:dyDescent="0.5">
      <c r="A3" s="3"/>
      <c r="B3" s="2"/>
      <c r="C3" s="4"/>
      <c r="D3" s="4"/>
      <c r="E3" s="4"/>
      <c r="F3" s="4"/>
      <c r="G3" s="4"/>
      <c r="H3" s="4" t="s">
        <v>59</v>
      </c>
      <c r="I3" s="4" t="s">
        <v>60</v>
      </c>
      <c r="J3" s="5"/>
      <c r="K3" s="4"/>
      <c r="L3" s="4"/>
      <c r="M3" s="4"/>
      <c r="N3" s="4"/>
      <c r="O3" s="4"/>
      <c r="P3" s="4"/>
      <c r="Q3" s="4"/>
      <c r="R3" s="4"/>
      <c r="S3" s="5"/>
    </row>
    <row r="4" spans="1:20" x14ac:dyDescent="0.5">
      <c r="A4" s="3"/>
      <c r="B4" s="2"/>
      <c r="C4" s="4"/>
      <c r="D4" s="4"/>
      <c r="E4" s="6" t="s">
        <v>19</v>
      </c>
      <c r="F4" s="7" t="s">
        <v>5</v>
      </c>
      <c r="G4" s="4"/>
      <c r="H4" s="4">
        <v>6000</v>
      </c>
      <c r="I4" s="4"/>
      <c r="J4" s="5"/>
      <c r="K4" s="4"/>
      <c r="L4" s="4"/>
      <c r="M4" s="6" t="s">
        <v>20</v>
      </c>
      <c r="N4" s="7" t="s">
        <v>5</v>
      </c>
      <c r="O4" s="4">
        <v>1480</v>
      </c>
      <c r="P4" s="4"/>
      <c r="Q4" s="4"/>
      <c r="R4" s="4"/>
      <c r="S4" s="5"/>
    </row>
    <row r="5" spans="1:20" x14ac:dyDescent="0.5">
      <c r="A5" s="3"/>
      <c r="B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5"/>
    </row>
    <row r="6" spans="1:20" x14ac:dyDescent="0.5">
      <c r="A6" s="3"/>
      <c r="B6" s="2"/>
      <c r="C6" s="7" t="s">
        <v>16</v>
      </c>
      <c r="D6" s="8"/>
      <c r="E6" s="7" t="s">
        <v>17</v>
      </c>
      <c r="F6" s="8"/>
      <c r="G6" s="7"/>
      <c r="H6" s="7" t="s">
        <v>18</v>
      </c>
      <c r="I6" s="7"/>
      <c r="J6" s="5"/>
      <c r="K6" s="7" t="s">
        <v>16</v>
      </c>
      <c r="L6" s="8"/>
      <c r="M6" s="7" t="s">
        <v>17</v>
      </c>
      <c r="N6" s="8"/>
      <c r="O6" s="7"/>
      <c r="P6" s="7" t="s">
        <v>18</v>
      </c>
      <c r="Q6" s="7"/>
      <c r="R6" s="4"/>
      <c r="S6" s="5"/>
    </row>
    <row r="7" spans="1:20" x14ac:dyDescent="0.5">
      <c r="A7" s="3"/>
      <c r="B7" s="2" t="s">
        <v>46</v>
      </c>
      <c r="C7" s="4"/>
      <c r="D7" s="4"/>
      <c r="E7" s="2" t="s">
        <v>0</v>
      </c>
      <c r="F7" s="4">
        <v>1012</v>
      </c>
      <c r="G7" s="4"/>
      <c r="H7" s="2"/>
      <c r="I7" s="4"/>
      <c r="J7" s="5"/>
      <c r="K7" s="4"/>
      <c r="L7" s="4"/>
      <c r="M7" s="2" t="s">
        <v>26</v>
      </c>
      <c r="N7" s="4">
        <v>150</v>
      </c>
      <c r="O7" s="4"/>
      <c r="P7" s="2"/>
      <c r="Q7" s="4"/>
      <c r="R7" s="4"/>
      <c r="S7" s="5"/>
    </row>
    <row r="8" spans="1:20" x14ac:dyDescent="0.5">
      <c r="A8" s="3"/>
      <c r="B8" s="2"/>
      <c r="C8" s="4" t="s">
        <v>63</v>
      </c>
      <c r="D8" s="4"/>
      <c r="E8" s="2" t="s">
        <v>220</v>
      </c>
      <c r="F8" s="4"/>
      <c r="G8" s="4"/>
      <c r="H8" s="2"/>
      <c r="I8" s="4"/>
      <c r="J8" s="5"/>
      <c r="K8" s="4"/>
      <c r="L8" s="4"/>
      <c r="M8" s="2" t="s">
        <v>49</v>
      </c>
      <c r="N8" s="4">
        <v>200</v>
      </c>
      <c r="O8" s="4"/>
      <c r="P8" s="2"/>
      <c r="Q8" s="4"/>
      <c r="R8" s="4"/>
      <c r="S8" s="5"/>
      <c r="T8">
        <v>50</v>
      </c>
    </row>
    <row r="9" spans="1:20" x14ac:dyDescent="0.5">
      <c r="A9" s="3"/>
      <c r="B9" s="2" t="s">
        <v>15</v>
      </c>
      <c r="C9" s="4">
        <v>200</v>
      </c>
      <c r="D9" s="4"/>
      <c r="E9" s="2" t="s">
        <v>235</v>
      </c>
      <c r="F9" s="4">
        <v>96</v>
      </c>
      <c r="G9" s="4"/>
      <c r="H9" s="2"/>
      <c r="I9" s="4"/>
      <c r="J9" s="5"/>
      <c r="K9" s="4"/>
      <c r="L9" s="4"/>
      <c r="M9" s="2" t="s">
        <v>50</v>
      </c>
      <c r="N9" s="4">
        <v>200</v>
      </c>
      <c r="O9" s="4"/>
      <c r="P9" s="2"/>
      <c r="Q9" s="4"/>
      <c r="R9" s="4"/>
      <c r="S9" s="5"/>
      <c r="T9">
        <v>200</v>
      </c>
    </row>
    <row r="10" spans="1:20" x14ac:dyDescent="0.5">
      <c r="A10" s="3"/>
      <c r="B10" s="2" t="s">
        <v>221</v>
      </c>
      <c r="C10" s="4">
        <v>200</v>
      </c>
      <c r="D10" s="4"/>
      <c r="E10" s="2" t="s">
        <v>187</v>
      </c>
      <c r="F10" s="4">
        <v>50</v>
      </c>
      <c r="G10" s="4"/>
      <c r="H10" s="2"/>
      <c r="I10" s="4"/>
      <c r="J10" s="5"/>
      <c r="K10" s="4"/>
      <c r="L10" s="4"/>
      <c r="M10" s="2" t="s">
        <v>51</v>
      </c>
      <c r="N10" s="4">
        <v>300</v>
      </c>
      <c r="O10" s="4"/>
      <c r="P10" s="2"/>
      <c r="Q10" s="4"/>
      <c r="R10" s="4"/>
      <c r="S10" s="5"/>
      <c r="T10">
        <v>150</v>
      </c>
    </row>
    <row r="11" spans="1:20" x14ac:dyDescent="0.5">
      <c r="A11" s="3"/>
      <c r="B11" s="2" t="s">
        <v>195</v>
      </c>
      <c r="C11" s="4">
        <v>39</v>
      </c>
      <c r="D11" s="4"/>
      <c r="E11" s="2" t="s">
        <v>1</v>
      </c>
      <c r="F11" s="4">
        <v>157</v>
      </c>
      <c r="G11" s="4"/>
      <c r="J11" s="5"/>
      <c r="K11" s="4"/>
      <c r="L11" s="4"/>
      <c r="M11" s="2" t="s">
        <v>52</v>
      </c>
      <c r="N11" s="4">
        <v>100</v>
      </c>
      <c r="O11" s="4"/>
      <c r="P11" s="2"/>
      <c r="Q11" s="4"/>
      <c r="R11" s="4"/>
      <c r="S11" s="5"/>
      <c r="T11">
        <v>160</v>
      </c>
    </row>
    <row r="12" spans="1:20" x14ac:dyDescent="0.5">
      <c r="A12" s="3"/>
      <c r="B12" s="2" t="s">
        <v>223</v>
      </c>
      <c r="C12" s="4">
        <v>2000</v>
      </c>
      <c r="D12" s="4"/>
      <c r="E12" s="2" t="s">
        <v>9</v>
      </c>
      <c r="F12" s="4">
        <v>300</v>
      </c>
      <c r="G12" s="4"/>
      <c r="J12" s="5"/>
      <c r="K12" s="4"/>
      <c r="L12" s="4"/>
      <c r="M12" s="2" t="s">
        <v>53</v>
      </c>
      <c r="N12" s="4">
        <v>13</v>
      </c>
      <c r="O12" s="4"/>
      <c r="P12" s="2"/>
      <c r="Q12" s="4"/>
      <c r="R12" s="4"/>
      <c r="S12" s="5"/>
    </row>
    <row r="13" spans="1:20" x14ac:dyDescent="0.5">
      <c r="A13" s="3"/>
      <c r="B13" s="2" t="s">
        <v>308</v>
      </c>
      <c r="C13" s="4">
        <v>100</v>
      </c>
      <c r="D13" s="4"/>
      <c r="E13" s="2" t="s">
        <v>235</v>
      </c>
      <c r="F13" s="4">
        <v>52</v>
      </c>
      <c r="G13" s="4"/>
      <c r="J13" s="5"/>
      <c r="K13" s="4"/>
      <c r="L13" s="4"/>
      <c r="M13" s="2" t="s">
        <v>54</v>
      </c>
      <c r="N13" s="4">
        <v>13</v>
      </c>
      <c r="O13" s="4"/>
      <c r="P13" s="2"/>
      <c r="Q13" s="4"/>
      <c r="R13" s="4"/>
      <c r="S13" s="5"/>
    </row>
    <row r="14" spans="1:20" x14ac:dyDescent="0.5">
      <c r="A14" s="3"/>
      <c r="B14" s="2" t="s">
        <v>309</v>
      </c>
      <c r="C14" s="4">
        <v>100</v>
      </c>
      <c r="D14" s="4"/>
      <c r="E14" s="2" t="s">
        <v>14</v>
      </c>
      <c r="F14" s="4">
        <v>13</v>
      </c>
      <c r="G14" s="4"/>
      <c r="J14" s="5"/>
      <c r="K14" s="4"/>
      <c r="L14" s="4"/>
      <c r="M14" s="2"/>
      <c r="N14" s="4"/>
      <c r="O14" s="4"/>
      <c r="P14" s="2"/>
      <c r="Q14" s="4"/>
      <c r="R14" s="4"/>
      <c r="S14" s="5"/>
      <c r="T14">
        <f>SUM(T8:T11)</f>
        <v>560</v>
      </c>
    </row>
    <row r="15" spans="1:20" x14ac:dyDescent="0.5">
      <c r="A15" s="3"/>
      <c r="B15" s="2" t="s">
        <v>310</v>
      </c>
      <c r="C15" s="4">
        <v>280</v>
      </c>
      <c r="D15" s="4"/>
      <c r="E15" s="2" t="s">
        <v>56</v>
      </c>
      <c r="F15" s="4">
        <v>100</v>
      </c>
      <c r="G15" s="4"/>
      <c r="H15" s="2"/>
      <c r="I15" s="4"/>
      <c r="J15" s="5"/>
      <c r="K15" s="4"/>
      <c r="L15" s="4"/>
      <c r="M15" s="2"/>
      <c r="N15" s="4"/>
      <c r="O15" s="4"/>
      <c r="P15" s="2"/>
      <c r="Q15" s="4"/>
      <c r="R15" s="4"/>
      <c r="S15" s="5"/>
    </row>
    <row r="16" spans="1:20" x14ac:dyDescent="0.5">
      <c r="A16" s="3"/>
      <c r="B16" s="2" t="s">
        <v>311</v>
      </c>
      <c r="C16" s="4">
        <v>400</v>
      </c>
      <c r="D16" s="4"/>
      <c r="E16" s="2" t="s">
        <v>222</v>
      </c>
      <c r="F16" s="4">
        <v>131</v>
      </c>
      <c r="G16" s="4"/>
      <c r="H16" s="4"/>
      <c r="I16" s="4"/>
      <c r="J16" s="5"/>
      <c r="K16" s="4"/>
      <c r="L16" s="4"/>
      <c r="M16" s="2"/>
      <c r="N16" s="4"/>
      <c r="O16" s="4"/>
      <c r="P16" s="4"/>
      <c r="Q16" s="4"/>
      <c r="R16" s="4"/>
      <c r="S16" s="5"/>
    </row>
    <row r="17" spans="1:19" x14ac:dyDescent="0.5">
      <c r="A17" s="3"/>
      <c r="B17" s="2" t="s">
        <v>312</v>
      </c>
      <c r="C17" s="4">
        <v>300</v>
      </c>
      <c r="D17" s="4"/>
      <c r="E17" s="2"/>
      <c r="F17" s="4"/>
      <c r="G17" s="4"/>
      <c r="H17" s="4"/>
      <c r="I17" s="4"/>
      <c r="J17" s="5"/>
      <c r="K17" s="4"/>
      <c r="L17" s="4"/>
      <c r="M17" s="2"/>
      <c r="N17" s="4"/>
      <c r="O17" s="4"/>
      <c r="P17" s="4"/>
      <c r="Q17" s="4"/>
      <c r="R17" s="4"/>
      <c r="S17" s="5"/>
    </row>
    <row r="18" spans="1:19" x14ac:dyDescent="0.5">
      <c r="A18" s="3"/>
      <c r="B18" s="2"/>
      <c r="C18" s="4"/>
      <c r="D18" s="4"/>
      <c r="E18" s="2"/>
      <c r="F18" s="4"/>
      <c r="G18" s="4"/>
      <c r="H18" s="4"/>
      <c r="I18" s="4"/>
      <c r="J18" s="5"/>
      <c r="K18" s="4"/>
      <c r="L18" s="4"/>
      <c r="M18" s="2"/>
      <c r="N18" s="4"/>
      <c r="O18" s="4"/>
      <c r="P18" s="4"/>
      <c r="Q18" s="4"/>
      <c r="R18" s="4"/>
      <c r="S18" s="5"/>
    </row>
    <row r="19" spans="1:19" x14ac:dyDescent="0.5">
      <c r="A19" s="3"/>
      <c r="B19" s="4"/>
      <c r="C19" s="4"/>
      <c r="D19" s="4"/>
      <c r="E19" s="2"/>
      <c r="F19" s="4"/>
      <c r="G19" s="4"/>
      <c r="H19" s="4"/>
      <c r="I19" s="4"/>
      <c r="J19" s="5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5">
      <c r="A20" s="3"/>
      <c r="B20" s="4"/>
      <c r="C20" s="4"/>
      <c r="D20" s="4"/>
      <c r="E20" s="4"/>
      <c r="F20" s="4"/>
      <c r="G20" s="4"/>
      <c r="H20" s="4"/>
      <c r="I20" s="4"/>
      <c r="J20" s="5"/>
      <c r="K20" s="4"/>
      <c r="L20" s="4"/>
      <c r="M20" s="4"/>
      <c r="N20" s="4"/>
      <c r="O20" s="4"/>
      <c r="P20" s="4"/>
      <c r="Q20" s="4"/>
      <c r="R20" s="4"/>
      <c r="S20" s="5"/>
    </row>
    <row r="21" spans="1:19" x14ac:dyDescent="0.5">
      <c r="A21" s="3"/>
      <c r="B21" s="4"/>
      <c r="C21" s="4"/>
      <c r="D21" s="4"/>
      <c r="G21" s="4"/>
      <c r="H21" s="4"/>
      <c r="I21" s="4"/>
      <c r="J21" s="5"/>
      <c r="K21" s="4"/>
      <c r="L21" s="4"/>
      <c r="M21" s="4"/>
      <c r="N21" s="4"/>
      <c r="O21" s="4"/>
      <c r="P21" s="4"/>
      <c r="Q21" s="4"/>
      <c r="R21" s="4"/>
      <c r="S21" s="5"/>
    </row>
    <row r="22" spans="1:19" x14ac:dyDescent="0.5">
      <c r="A22" s="3"/>
      <c r="B22" s="7" t="s">
        <v>4</v>
      </c>
      <c r="C22" s="4">
        <f>SUM(C7:C19)</f>
        <v>3619</v>
      </c>
      <c r="D22" s="4"/>
      <c r="E22" s="4"/>
      <c r="F22" s="4">
        <f>SUM(F7:F20)+150</f>
        <v>2061</v>
      </c>
      <c r="G22" s="4"/>
      <c r="H22" s="4"/>
      <c r="I22" s="4">
        <f>SUM(I7:I19)</f>
        <v>0</v>
      </c>
      <c r="J22" s="5"/>
      <c r="K22" s="4"/>
      <c r="L22" s="4"/>
      <c r="M22" s="4"/>
      <c r="N22" s="4">
        <f>SUM(N7:N19)</f>
        <v>976</v>
      </c>
      <c r="O22" s="4"/>
      <c r="P22" s="4"/>
      <c r="Q22" s="4">
        <f>SUM(Q7:Q18)</f>
        <v>0</v>
      </c>
      <c r="R22" s="4"/>
      <c r="S22" s="5"/>
    </row>
    <row r="23" spans="1:19" x14ac:dyDescent="0.5">
      <c r="A23" s="3"/>
      <c r="B23" s="4"/>
      <c r="C23" s="4"/>
      <c r="D23" s="4"/>
      <c r="E23" s="4"/>
      <c r="F23" s="4"/>
      <c r="G23" s="4"/>
      <c r="H23" s="4"/>
      <c r="I23" s="4"/>
      <c r="J23" s="5"/>
      <c r="K23" s="4"/>
      <c r="L23" s="4"/>
      <c r="M23" s="4"/>
      <c r="N23" s="4"/>
      <c r="O23" s="4"/>
      <c r="P23" s="4"/>
      <c r="Q23" s="4"/>
      <c r="R23" s="4"/>
      <c r="S23" s="5"/>
    </row>
    <row r="24" spans="1:19" x14ac:dyDescent="0.5">
      <c r="A24" s="3"/>
      <c r="B24" s="4"/>
      <c r="C24" s="4"/>
      <c r="D24" s="4"/>
      <c r="E24" s="4"/>
      <c r="F24" s="4"/>
      <c r="G24" s="4"/>
      <c r="H24" s="4"/>
      <c r="I24" s="4"/>
      <c r="J24" s="5"/>
      <c r="K24" s="4"/>
      <c r="L24" s="4"/>
      <c r="M24" s="4"/>
      <c r="N24" s="4"/>
      <c r="O24" s="4"/>
      <c r="P24" s="4"/>
      <c r="Q24" s="4"/>
      <c r="R24" s="4"/>
      <c r="S24" s="5"/>
    </row>
    <row r="25" spans="1:19" x14ac:dyDescent="0.5">
      <c r="A25" s="3"/>
      <c r="B25" s="4"/>
      <c r="C25" s="4"/>
      <c r="D25" s="4"/>
      <c r="E25" s="4"/>
      <c r="F25" s="4"/>
      <c r="G25" s="4"/>
      <c r="H25" s="4"/>
      <c r="I25" s="4"/>
      <c r="J25" s="5"/>
      <c r="K25" s="4"/>
      <c r="L25" s="4"/>
      <c r="M25" s="4"/>
      <c r="N25" s="4"/>
      <c r="O25" s="4"/>
      <c r="P25" s="4"/>
      <c r="Q25" s="4"/>
      <c r="R25" s="4"/>
      <c r="S25" s="5"/>
    </row>
    <row r="26" spans="1:19" x14ac:dyDescent="0.5">
      <c r="A26" s="3"/>
      <c r="B26" s="4"/>
      <c r="C26" s="7" t="s">
        <v>8</v>
      </c>
      <c r="D26" s="4">
        <f>C22+F22+I22</f>
        <v>5680</v>
      </c>
      <c r="E26" s="4"/>
      <c r="F26" s="4"/>
      <c r="G26" s="4"/>
      <c r="H26" s="4"/>
      <c r="I26" s="4"/>
      <c r="J26" s="5"/>
      <c r="K26" s="7" t="s">
        <v>4</v>
      </c>
      <c r="L26" s="4"/>
      <c r="M26" s="4"/>
      <c r="N26" s="4"/>
      <c r="O26" s="4"/>
      <c r="P26" s="4">
        <f>N22+Q22</f>
        <v>976</v>
      </c>
      <c r="Q26" s="4"/>
      <c r="R26" s="4"/>
      <c r="S26" s="5"/>
    </row>
    <row r="27" spans="1:19" x14ac:dyDescent="0.5">
      <c r="A27" s="3"/>
      <c r="B27" s="4"/>
      <c r="C27" s="4"/>
      <c r="D27" s="4"/>
      <c r="E27" s="4"/>
      <c r="F27" s="4"/>
      <c r="G27" s="4"/>
      <c r="H27" s="4"/>
      <c r="I27" s="4"/>
      <c r="J27" s="5"/>
      <c r="K27" s="4"/>
      <c r="L27" s="4"/>
      <c r="M27" s="4"/>
      <c r="N27" s="4"/>
      <c r="O27" s="4"/>
      <c r="P27" s="4"/>
      <c r="Q27" s="4"/>
      <c r="R27" s="4"/>
      <c r="S27" s="5"/>
    </row>
    <row r="28" spans="1:19" x14ac:dyDescent="0.5">
      <c r="A28" s="3"/>
      <c r="B28" s="4"/>
      <c r="C28" s="4"/>
      <c r="D28" s="4"/>
      <c r="E28" s="4"/>
      <c r="F28" s="4"/>
      <c r="G28" s="4"/>
      <c r="H28" s="4"/>
      <c r="I28" s="4"/>
      <c r="J28" s="5"/>
      <c r="K28" s="4"/>
      <c r="L28" s="4"/>
      <c r="M28" s="4"/>
      <c r="N28" s="4"/>
      <c r="O28" s="4"/>
      <c r="P28" s="4"/>
      <c r="Q28" s="4"/>
      <c r="R28" s="4"/>
      <c r="S28" s="5"/>
    </row>
    <row r="29" spans="1:19" x14ac:dyDescent="0.5">
      <c r="A29" s="3"/>
      <c r="B29" s="7" t="s">
        <v>74</v>
      </c>
      <c r="C29" s="4">
        <f>ABS(G4-D26)</f>
        <v>5680</v>
      </c>
      <c r="D29" s="4"/>
      <c r="E29" s="4"/>
      <c r="F29" s="4"/>
      <c r="G29" s="4"/>
      <c r="H29" s="4"/>
      <c r="I29" s="4"/>
      <c r="J29" s="5"/>
      <c r="K29" s="7" t="s">
        <v>21</v>
      </c>
      <c r="L29" s="4">
        <f>O4-P26</f>
        <v>504</v>
      </c>
      <c r="M29" s="4"/>
      <c r="N29" s="4"/>
      <c r="O29" s="4"/>
      <c r="P29" s="4"/>
      <c r="Q29" s="4"/>
      <c r="R29" s="4"/>
      <c r="S29" s="5"/>
    </row>
    <row r="30" spans="1:19" x14ac:dyDescent="0.5">
      <c r="A30" s="3"/>
      <c r="B30" s="4"/>
      <c r="C30" s="4"/>
      <c r="D30" s="4"/>
      <c r="E30" s="4"/>
      <c r="F30" s="4"/>
      <c r="G30" s="4"/>
      <c r="H30" s="4"/>
      <c r="I30" s="4"/>
      <c r="J30" s="5"/>
      <c r="K30" s="4"/>
      <c r="L30" s="4"/>
      <c r="M30" s="4"/>
      <c r="N30" s="4"/>
      <c r="O30" s="4"/>
      <c r="P30" s="4"/>
      <c r="Q30" s="4"/>
      <c r="R30" s="4"/>
      <c r="S30" s="5"/>
    </row>
    <row r="31" spans="1:19" x14ac:dyDescent="0.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 x14ac:dyDescent="0.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5">
      <c r="A34" s="2"/>
      <c r="B34" s="7" t="s">
        <v>25</v>
      </c>
      <c r="C34" s="4">
        <f>H4-D26</f>
        <v>320</v>
      </c>
      <c r="D34" s="4"/>
      <c r="E34" s="4"/>
      <c r="F34" s="4"/>
      <c r="G34" s="4"/>
      <c r="H34" s="4"/>
      <c r="I34" s="4"/>
      <c r="J34" s="4">
        <f>C29+L29</f>
        <v>6184</v>
      </c>
      <c r="K34" s="4"/>
      <c r="L34" s="4"/>
      <c r="M34" s="4"/>
      <c r="N34" s="4"/>
      <c r="O34" s="4"/>
      <c r="P34" s="4"/>
      <c r="Q34" s="4"/>
      <c r="R34" s="4"/>
      <c r="S34" s="4"/>
    </row>
    <row r="35" spans="1:19" x14ac:dyDescent="0.5">
      <c r="A35" s="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x14ac:dyDescent="0.5">
      <c r="E36">
        <f>5.2+13.8+10.96+13+13+21+6.99+47+62+12+68+40</f>
        <v>312.95</v>
      </c>
    </row>
    <row r="39" spans="1:19" x14ac:dyDescent="0.5">
      <c r="I39" t="s">
        <v>208</v>
      </c>
      <c r="J39">
        <v>39</v>
      </c>
      <c r="L39" t="s">
        <v>214</v>
      </c>
      <c r="M39">
        <f>SUM(J39:J58)</f>
        <v>22002</v>
      </c>
    </row>
    <row r="40" spans="1:19" ht="16.5" x14ac:dyDescent="0.6">
      <c r="E40" s="13" t="s">
        <v>196</v>
      </c>
      <c r="F40">
        <v>500</v>
      </c>
      <c r="I40" t="s">
        <v>209</v>
      </c>
      <c r="J40">
        <v>100</v>
      </c>
    </row>
    <row r="41" spans="1:19" ht="16.5" x14ac:dyDescent="0.6">
      <c r="E41" s="13" t="s">
        <v>197</v>
      </c>
      <c r="F41">
        <v>800</v>
      </c>
      <c r="I41" t="s">
        <v>210</v>
      </c>
      <c r="J41">
        <v>21</v>
      </c>
    </row>
    <row r="42" spans="1:19" ht="16.5" x14ac:dyDescent="0.6">
      <c r="E42" s="13" t="s">
        <v>198</v>
      </c>
      <c r="F42">
        <v>200</v>
      </c>
      <c r="I42" t="s">
        <v>211</v>
      </c>
      <c r="J42">
        <v>20</v>
      </c>
    </row>
    <row r="43" spans="1:19" ht="16.5" x14ac:dyDescent="0.6">
      <c r="E43" s="13" t="s">
        <v>199</v>
      </c>
      <c r="F43">
        <v>2000</v>
      </c>
      <c r="I43" t="s">
        <v>212</v>
      </c>
      <c r="J43">
        <v>20</v>
      </c>
    </row>
    <row r="44" spans="1:19" ht="16.5" x14ac:dyDescent="0.6">
      <c r="E44" s="13" t="s">
        <v>205</v>
      </c>
      <c r="F44">
        <v>500</v>
      </c>
      <c r="I44" t="s">
        <v>212</v>
      </c>
      <c r="J44">
        <v>27</v>
      </c>
    </row>
    <row r="45" spans="1:19" ht="16.5" x14ac:dyDescent="0.6">
      <c r="E45" s="13" t="s">
        <v>200</v>
      </c>
      <c r="F45">
        <v>100</v>
      </c>
      <c r="I45" t="s">
        <v>213</v>
      </c>
      <c r="J45">
        <v>67</v>
      </c>
    </row>
    <row r="46" spans="1:19" ht="16.5" x14ac:dyDescent="0.6">
      <c r="E46" s="13" t="s">
        <v>201</v>
      </c>
      <c r="F46">
        <v>67</v>
      </c>
      <c r="I46" t="s">
        <v>22</v>
      </c>
      <c r="J46">
        <v>28</v>
      </c>
    </row>
    <row r="47" spans="1:19" ht="16.5" x14ac:dyDescent="0.6">
      <c r="E47" s="13" t="s">
        <v>202</v>
      </c>
      <c r="F47">
        <v>50</v>
      </c>
      <c r="I47" t="s">
        <v>215</v>
      </c>
      <c r="J47">
        <v>31</v>
      </c>
    </row>
    <row r="48" spans="1:19" ht="16.5" x14ac:dyDescent="0.6">
      <c r="E48" s="13" t="s">
        <v>203</v>
      </c>
      <c r="F48">
        <v>70</v>
      </c>
      <c r="I48" t="s">
        <v>216</v>
      </c>
      <c r="J48">
        <v>32</v>
      </c>
    </row>
    <row r="49" spans="2:10" ht="16.5" x14ac:dyDescent="0.6">
      <c r="E49" s="13" t="s">
        <v>204</v>
      </c>
      <c r="F49">
        <v>300</v>
      </c>
      <c r="I49" t="s">
        <v>217</v>
      </c>
      <c r="J49">
        <v>46</v>
      </c>
    </row>
    <row r="50" spans="2:10" ht="16.5" x14ac:dyDescent="0.6">
      <c r="E50" s="13" t="s">
        <v>206</v>
      </c>
      <c r="F50">
        <v>100</v>
      </c>
      <c r="I50" t="s">
        <v>24</v>
      </c>
      <c r="J50">
        <v>20914</v>
      </c>
    </row>
    <row r="51" spans="2:10" x14ac:dyDescent="0.5">
      <c r="I51" t="s">
        <v>219</v>
      </c>
      <c r="J51">
        <v>357</v>
      </c>
    </row>
    <row r="52" spans="2:10" x14ac:dyDescent="0.5">
      <c r="J52">
        <v>300</v>
      </c>
    </row>
    <row r="54" spans="2:10" x14ac:dyDescent="0.5">
      <c r="F54">
        <f>SUM(F40:F50)</f>
        <v>4687</v>
      </c>
    </row>
    <row r="62" spans="2:10" x14ac:dyDescent="0.5">
      <c r="B62" s="7" t="s">
        <v>2</v>
      </c>
      <c r="C62" s="4">
        <v>1900</v>
      </c>
    </row>
    <row r="98" spans="2:16" x14ac:dyDescent="0.5">
      <c r="B98">
        <v>3000</v>
      </c>
    </row>
    <row r="99" spans="2:16" x14ac:dyDescent="0.5">
      <c r="B99">
        <v>2500</v>
      </c>
      <c r="J99">
        <v>3000</v>
      </c>
    </row>
    <row r="100" spans="2:16" x14ac:dyDescent="0.5">
      <c r="B100">
        <v>2500</v>
      </c>
      <c r="J100">
        <v>600</v>
      </c>
    </row>
    <row r="101" spans="2:16" x14ac:dyDescent="0.5">
      <c r="B101">
        <v>800</v>
      </c>
    </row>
    <row r="102" spans="2:16" x14ac:dyDescent="0.5">
      <c r="B102">
        <v>700</v>
      </c>
    </row>
    <row r="106" spans="2:16" x14ac:dyDescent="0.5">
      <c r="B106">
        <f>SUM(B98:B102)</f>
        <v>9500</v>
      </c>
      <c r="D106">
        <f>B106-7000</f>
        <v>2500</v>
      </c>
    </row>
    <row r="107" spans="2:16" x14ac:dyDescent="0.5">
      <c r="P107">
        <v>126</v>
      </c>
    </row>
    <row r="108" spans="2:16" x14ac:dyDescent="0.5">
      <c r="P108" s="4">
        <v>12</v>
      </c>
    </row>
    <row r="109" spans="2:16" x14ac:dyDescent="0.5">
      <c r="P109" s="4">
        <v>10</v>
      </c>
    </row>
    <row r="110" spans="2:16" x14ac:dyDescent="0.5">
      <c r="P110" s="4">
        <v>20</v>
      </c>
    </row>
    <row r="111" spans="2:16" x14ac:dyDescent="0.5">
      <c r="P111" s="4">
        <v>20</v>
      </c>
    </row>
    <row r="112" spans="2:16" x14ac:dyDescent="0.5">
      <c r="P112" s="4">
        <v>20</v>
      </c>
    </row>
    <row r="113" spans="5:16" x14ac:dyDescent="0.5">
      <c r="P113" s="4">
        <v>3.99</v>
      </c>
    </row>
    <row r="114" spans="5:16" x14ac:dyDescent="0.5">
      <c r="P114" s="4">
        <v>100</v>
      </c>
    </row>
    <row r="115" spans="5:16" x14ac:dyDescent="0.5">
      <c r="E115">
        <v>1400</v>
      </c>
      <c r="P115" s="4">
        <v>75</v>
      </c>
    </row>
    <row r="116" spans="5:16" x14ac:dyDescent="0.5">
      <c r="E116">
        <v>1300</v>
      </c>
      <c r="P116" s="4">
        <v>60</v>
      </c>
    </row>
    <row r="117" spans="5:16" x14ac:dyDescent="0.5">
      <c r="E117">
        <v>950</v>
      </c>
      <c r="P117" s="4"/>
    </row>
    <row r="118" spans="5:16" x14ac:dyDescent="0.5">
      <c r="P118" s="4">
        <v>70</v>
      </c>
    </row>
    <row r="121" spans="5:16" x14ac:dyDescent="0.5">
      <c r="E121">
        <f>SUM(E115:E119)</f>
        <v>3650</v>
      </c>
    </row>
    <row r="125" spans="5:16" x14ac:dyDescent="0.5">
      <c r="P125">
        <f>SUM(P105:P122)</f>
        <v>516.99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680BA-C5EE-4B0D-B474-B9A682483A7B}">
  <dimension ref="A1:T125"/>
  <sheetViews>
    <sheetView tabSelected="1" workbookViewId="0">
      <selection activeCell="C10" sqref="C10"/>
    </sheetView>
  </sheetViews>
  <sheetFormatPr baseColWidth="10" defaultRowHeight="15.75" x14ac:dyDescent="0.5"/>
  <cols>
    <col min="2" max="2" width="11.625" bestFit="1" customWidth="1"/>
    <col min="5" max="5" width="20.125" customWidth="1"/>
    <col min="8" max="8" width="15.25" bestFit="1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0" x14ac:dyDescent="0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x14ac:dyDescent="0.5">
      <c r="A3" s="3"/>
      <c r="B3" s="2"/>
      <c r="C3" s="4"/>
      <c r="D3" s="4"/>
      <c r="E3" s="4"/>
      <c r="F3" s="4"/>
      <c r="G3" s="4"/>
      <c r="H3" s="4" t="s">
        <v>59</v>
      </c>
      <c r="I3" s="4" t="s">
        <v>60</v>
      </c>
      <c r="J3" s="5"/>
      <c r="K3" s="4"/>
      <c r="L3" s="4"/>
      <c r="M3" s="4"/>
      <c r="N3" s="4"/>
      <c r="O3" s="4"/>
      <c r="P3" s="4"/>
      <c r="Q3" s="4"/>
      <c r="R3" s="4"/>
      <c r="S3" s="5"/>
    </row>
    <row r="4" spans="1:20" x14ac:dyDescent="0.5">
      <c r="A4" s="3"/>
      <c r="B4" s="2"/>
      <c r="C4" s="4"/>
      <c r="D4" s="4"/>
      <c r="E4" s="6" t="s">
        <v>19</v>
      </c>
      <c r="F4" s="7" t="s">
        <v>5</v>
      </c>
      <c r="G4" s="4"/>
      <c r="H4" s="4">
        <v>6000</v>
      </c>
      <c r="I4" s="4"/>
      <c r="J4" s="5"/>
      <c r="K4" s="4"/>
      <c r="L4" s="4"/>
      <c r="M4" s="6" t="s">
        <v>20</v>
      </c>
      <c r="N4" s="7" t="s">
        <v>5</v>
      </c>
      <c r="O4" s="4">
        <v>1480</v>
      </c>
      <c r="P4" s="4"/>
      <c r="Q4" s="4"/>
      <c r="R4" s="4"/>
      <c r="S4" s="5"/>
    </row>
    <row r="5" spans="1:20" x14ac:dyDescent="0.5">
      <c r="A5" s="3"/>
      <c r="B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5"/>
    </row>
    <row r="6" spans="1:20" x14ac:dyDescent="0.5">
      <c r="A6" s="3"/>
      <c r="B6" s="2"/>
      <c r="C6" s="7" t="s">
        <v>16</v>
      </c>
      <c r="D6" s="8"/>
      <c r="E6" s="7" t="s">
        <v>17</v>
      </c>
      <c r="F6" s="8"/>
      <c r="G6" s="7"/>
      <c r="H6" s="7" t="s">
        <v>18</v>
      </c>
      <c r="I6" s="7"/>
      <c r="J6" s="5"/>
      <c r="K6" s="7" t="s">
        <v>16</v>
      </c>
      <c r="L6" s="8"/>
      <c r="M6" s="7" t="s">
        <v>17</v>
      </c>
      <c r="N6" s="8"/>
      <c r="O6" s="7"/>
      <c r="P6" s="7" t="s">
        <v>18</v>
      </c>
      <c r="Q6" s="7"/>
      <c r="R6" s="4"/>
      <c r="S6" s="5"/>
    </row>
    <row r="7" spans="1:20" x14ac:dyDescent="0.5">
      <c r="A7" s="3"/>
      <c r="B7" s="2" t="s">
        <v>46</v>
      </c>
      <c r="C7" s="4"/>
      <c r="D7" s="4"/>
      <c r="E7" s="2" t="s">
        <v>0</v>
      </c>
      <c r="F7" s="4">
        <v>1034</v>
      </c>
      <c r="G7" s="4"/>
      <c r="H7" s="2"/>
      <c r="I7" s="4"/>
      <c r="J7" s="5"/>
      <c r="K7" s="4"/>
      <c r="L7" s="4"/>
      <c r="M7" s="2" t="s">
        <v>26</v>
      </c>
      <c r="N7" s="4">
        <v>150</v>
      </c>
      <c r="O7" s="4"/>
      <c r="P7" s="2"/>
      <c r="Q7" s="4"/>
      <c r="R7" s="4"/>
      <c r="S7" s="5"/>
    </row>
    <row r="8" spans="1:20" x14ac:dyDescent="0.5">
      <c r="A8" s="3"/>
      <c r="B8" s="2"/>
      <c r="C8" s="4" t="s">
        <v>63</v>
      </c>
      <c r="D8" s="4"/>
      <c r="E8" s="2" t="s">
        <v>220</v>
      </c>
      <c r="F8" s="4">
        <v>1000</v>
      </c>
      <c r="G8" s="4"/>
      <c r="H8" s="2"/>
      <c r="I8" s="4"/>
      <c r="J8" s="5"/>
      <c r="K8" s="4"/>
      <c r="L8" s="4"/>
      <c r="M8" s="2" t="s">
        <v>49</v>
      </c>
      <c r="N8" s="4">
        <v>200</v>
      </c>
      <c r="O8" s="4"/>
      <c r="P8" s="2"/>
      <c r="Q8" s="4"/>
      <c r="R8" s="4"/>
      <c r="S8" s="5"/>
      <c r="T8">
        <v>50</v>
      </c>
    </row>
    <row r="9" spans="1:20" x14ac:dyDescent="0.5">
      <c r="A9" s="3"/>
      <c r="B9" s="2" t="s">
        <v>15</v>
      </c>
      <c r="C9" s="4">
        <v>150</v>
      </c>
      <c r="D9" s="4"/>
      <c r="E9" s="2" t="s">
        <v>235</v>
      </c>
      <c r="F9" s="4">
        <v>96</v>
      </c>
      <c r="G9" s="4"/>
      <c r="H9" s="2"/>
      <c r="I9" s="4"/>
      <c r="J9" s="5"/>
      <c r="K9" s="4"/>
      <c r="L9" s="4"/>
      <c r="M9" s="2" t="s">
        <v>50</v>
      </c>
      <c r="N9" s="4">
        <v>200</v>
      </c>
      <c r="O9" s="4"/>
      <c r="P9" s="2"/>
      <c r="Q9" s="4"/>
      <c r="R9" s="4"/>
      <c r="S9" s="5"/>
      <c r="T9">
        <v>200</v>
      </c>
    </row>
    <row r="10" spans="1:20" x14ac:dyDescent="0.5">
      <c r="A10" s="3"/>
      <c r="B10" s="2" t="s">
        <v>221</v>
      </c>
      <c r="C10" s="4"/>
      <c r="D10" s="4"/>
      <c r="E10" s="2" t="s">
        <v>187</v>
      </c>
      <c r="F10" s="4">
        <v>50</v>
      </c>
      <c r="G10" s="4"/>
      <c r="H10" s="2"/>
      <c r="I10" s="4"/>
      <c r="J10" s="5"/>
      <c r="K10" s="4"/>
      <c r="L10" s="4"/>
      <c r="M10" s="2" t="s">
        <v>51</v>
      </c>
      <c r="N10" s="4">
        <v>300</v>
      </c>
      <c r="O10" s="4"/>
      <c r="P10" s="2"/>
      <c r="Q10" s="4"/>
      <c r="R10" s="4"/>
      <c r="S10" s="5"/>
      <c r="T10">
        <v>150</v>
      </c>
    </row>
    <row r="11" spans="1:20" x14ac:dyDescent="0.5">
      <c r="A11" s="3"/>
      <c r="B11" s="2" t="s">
        <v>195</v>
      </c>
      <c r="C11" s="4">
        <v>39</v>
      </c>
      <c r="D11" s="4"/>
      <c r="E11" s="2" t="s">
        <v>1</v>
      </c>
      <c r="F11" s="4">
        <v>157</v>
      </c>
      <c r="G11" s="4"/>
      <c r="J11" s="5"/>
      <c r="K11" s="4"/>
      <c r="L11" s="4"/>
      <c r="M11" s="2" t="s">
        <v>52</v>
      </c>
      <c r="N11" s="4">
        <v>100</v>
      </c>
      <c r="O11" s="4"/>
      <c r="P11" s="2"/>
      <c r="Q11" s="4"/>
      <c r="R11" s="4"/>
      <c r="S11" s="5"/>
      <c r="T11">
        <v>160</v>
      </c>
    </row>
    <row r="12" spans="1:20" x14ac:dyDescent="0.5">
      <c r="A12" s="3"/>
      <c r="B12" s="2" t="s">
        <v>223</v>
      </c>
      <c r="C12" s="4"/>
      <c r="D12" s="4"/>
      <c r="E12" s="2" t="s">
        <v>9</v>
      </c>
      <c r="F12" s="4">
        <v>300</v>
      </c>
      <c r="G12" s="4"/>
      <c r="J12" s="5"/>
      <c r="K12" s="4"/>
      <c r="L12" s="4"/>
      <c r="M12" s="2" t="s">
        <v>53</v>
      </c>
      <c r="N12" s="4">
        <v>13</v>
      </c>
      <c r="O12" s="4"/>
      <c r="P12" s="2"/>
      <c r="Q12" s="4"/>
      <c r="R12" s="4"/>
      <c r="S12" s="5"/>
    </row>
    <row r="13" spans="1:20" x14ac:dyDescent="0.5">
      <c r="A13" s="3"/>
      <c r="B13" s="2" t="s">
        <v>308</v>
      </c>
      <c r="C13" s="4"/>
      <c r="D13" s="4"/>
      <c r="E13" s="2" t="s">
        <v>235</v>
      </c>
      <c r="F13" s="4">
        <v>52</v>
      </c>
      <c r="G13" s="4"/>
      <c r="J13" s="5"/>
      <c r="K13" s="4"/>
      <c r="L13" s="4"/>
      <c r="M13" s="2" t="s">
        <v>54</v>
      </c>
      <c r="N13" s="4">
        <v>13</v>
      </c>
      <c r="O13" s="4"/>
      <c r="P13" s="2"/>
      <c r="Q13" s="4"/>
      <c r="R13" s="4"/>
      <c r="S13" s="5"/>
    </row>
    <row r="14" spans="1:20" x14ac:dyDescent="0.5">
      <c r="A14" s="3"/>
      <c r="B14" s="2" t="s">
        <v>309</v>
      </c>
      <c r="C14" s="4"/>
      <c r="D14" s="4"/>
      <c r="E14" s="2" t="s">
        <v>14</v>
      </c>
      <c r="F14" s="4">
        <v>13</v>
      </c>
      <c r="G14" s="4"/>
      <c r="J14" s="5"/>
      <c r="K14" s="4"/>
      <c r="L14" s="4"/>
      <c r="M14" s="2"/>
      <c r="N14" s="4"/>
      <c r="O14" s="4"/>
      <c r="P14" s="2"/>
      <c r="Q14" s="4"/>
      <c r="R14" s="4"/>
      <c r="S14" s="5"/>
      <c r="T14">
        <f>SUM(T8:T11)</f>
        <v>560</v>
      </c>
    </row>
    <row r="15" spans="1:20" x14ac:dyDescent="0.5">
      <c r="A15" s="3"/>
      <c r="B15" s="2" t="s">
        <v>310</v>
      </c>
      <c r="C15" s="4"/>
      <c r="D15" s="4"/>
      <c r="E15" s="2" t="s">
        <v>56</v>
      </c>
      <c r="F15" s="4">
        <v>100</v>
      </c>
      <c r="G15" s="4"/>
      <c r="H15" s="2"/>
      <c r="I15" s="4"/>
      <c r="J15" s="5"/>
      <c r="K15" s="4"/>
      <c r="L15" s="4"/>
      <c r="M15" s="2"/>
      <c r="N15" s="4"/>
      <c r="O15" s="4"/>
      <c r="P15" s="2"/>
      <c r="Q15" s="4"/>
      <c r="R15" s="4"/>
      <c r="S15" s="5"/>
    </row>
    <row r="16" spans="1:20" x14ac:dyDescent="0.5">
      <c r="A16" s="3"/>
      <c r="B16" s="2" t="s">
        <v>311</v>
      </c>
      <c r="C16" s="4"/>
      <c r="D16" s="4"/>
      <c r="E16" s="2" t="s">
        <v>222</v>
      </c>
      <c r="F16" s="4">
        <v>0</v>
      </c>
      <c r="G16" s="4"/>
      <c r="H16" s="4"/>
      <c r="I16" s="4"/>
      <c r="J16" s="5"/>
      <c r="K16" s="4"/>
      <c r="L16" s="4"/>
      <c r="M16" s="2"/>
      <c r="N16" s="4"/>
      <c r="O16" s="4"/>
      <c r="P16" s="4"/>
      <c r="Q16" s="4"/>
      <c r="R16" s="4"/>
      <c r="S16" s="5"/>
    </row>
    <row r="17" spans="1:19" x14ac:dyDescent="0.5">
      <c r="A17" s="3"/>
      <c r="B17" s="2" t="s">
        <v>312</v>
      </c>
      <c r="C17" s="4"/>
      <c r="D17" s="4"/>
      <c r="E17" s="2" t="s">
        <v>12</v>
      </c>
      <c r="F17" s="4">
        <v>200</v>
      </c>
      <c r="G17" s="4"/>
      <c r="H17" s="4"/>
      <c r="I17" s="4"/>
      <c r="J17" s="5"/>
      <c r="K17" s="4"/>
      <c r="L17" s="4"/>
      <c r="M17" s="2"/>
      <c r="N17" s="4"/>
      <c r="O17" s="4"/>
      <c r="P17" s="4"/>
      <c r="Q17" s="4"/>
      <c r="R17" s="4"/>
      <c r="S17" s="5"/>
    </row>
    <row r="18" spans="1:19" x14ac:dyDescent="0.5">
      <c r="A18" s="3"/>
      <c r="B18" s="2"/>
      <c r="C18" s="4"/>
      <c r="D18" s="4"/>
      <c r="E18" s="2"/>
      <c r="F18" s="4"/>
      <c r="G18" s="4"/>
      <c r="H18" s="4"/>
      <c r="I18" s="4"/>
      <c r="J18" s="5"/>
      <c r="K18" s="4"/>
      <c r="L18" s="4"/>
      <c r="M18" s="2"/>
      <c r="N18" s="4"/>
      <c r="O18" s="4"/>
      <c r="P18" s="4"/>
      <c r="Q18" s="4"/>
      <c r="R18" s="4"/>
      <c r="S18" s="5"/>
    </row>
    <row r="19" spans="1:19" x14ac:dyDescent="0.5">
      <c r="A19" s="3"/>
      <c r="B19" s="4"/>
      <c r="C19" s="4"/>
      <c r="D19" s="4"/>
      <c r="E19" s="2"/>
      <c r="F19" s="4"/>
      <c r="G19" s="4"/>
      <c r="H19" s="4"/>
      <c r="I19" s="4"/>
      <c r="J19" s="5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5">
      <c r="A20" s="3"/>
      <c r="B20" s="4"/>
      <c r="C20" s="4"/>
      <c r="D20" s="4"/>
      <c r="E20" s="4"/>
      <c r="F20" s="4"/>
      <c r="G20" s="4"/>
      <c r="H20" s="4"/>
      <c r="I20" s="4"/>
      <c r="J20" s="5"/>
      <c r="K20" s="4"/>
      <c r="L20" s="4"/>
      <c r="M20" s="4"/>
      <c r="N20" s="4"/>
      <c r="O20" s="4"/>
      <c r="P20" s="4"/>
      <c r="Q20" s="4"/>
      <c r="R20" s="4"/>
      <c r="S20" s="5"/>
    </row>
    <row r="21" spans="1:19" x14ac:dyDescent="0.5">
      <c r="A21" s="3"/>
      <c r="B21" s="4"/>
      <c r="C21" s="4"/>
      <c r="D21" s="4"/>
      <c r="G21" s="4"/>
      <c r="H21" s="4"/>
      <c r="I21" s="4"/>
      <c r="J21" s="5"/>
      <c r="K21" s="4"/>
      <c r="L21" s="4"/>
      <c r="M21" s="4"/>
      <c r="N21" s="4"/>
      <c r="O21" s="4"/>
      <c r="P21" s="4"/>
      <c r="Q21" s="4"/>
      <c r="R21" s="4"/>
      <c r="S21" s="5"/>
    </row>
    <row r="22" spans="1:19" x14ac:dyDescent="0.5">
      <c r="A22" s="3"/>
      <c r="B22" s="7" t="s">
        <v>4</v>
      </c>
      <c r="C22" s="4">
        <f>SUM(C7:C19)</f>
        <v>189</v>
      </c>
      <c r="D22" s="4"/>
      <c r="E22" s="4"/>
      <c r="F22" s="4">
        <f>SUM(F7:F20)+150</f>
        <v>3152</v>
      </c>
      <c r="G22" s="4"/>
      <c r="H22" s="4"/>
      <c r="I22" s="4">
        <f>SUM(I7:I19)</f>
        <v>0</v>
      </c>
      <c r="J22" s="5"/>
      <c r="K22" s="4"/>
      <c r="L22" s="4"/>
      <c r="M22" s="4"/>
      <c r="N22" s="4">
        <f>SUM(N7:N19)</f>
        <v>976</v>
      </c>
      <c r="O22" s="4"/>
      <c r="P22" s="4"/>
      <c r="Q22" s="4">
        <f>SUM(Q7:Q18)</f>
        <v>0</v>
      </c>
      <c r="R22" s="4"/>
      <c r="S22" s="5"/>
    </row>
    <row r="23" spans="1:19" x14ac:dyDescent="0.5">
      <c r="A23" s="3"/>
      <c r="B23" s="4"/>
      <c r="C23" s="4"/>
      <c r="D23" s="4"/>
      <c r="E23" s="4"/>
      <c r="F23" s="4"/>
      <c r="G23" s="4"/>
      <c r="H23" s="4"/>
      <c r="I23" s="4"/>
      <c r="J23" s="5"/>
      <c r="K23" s="4"/>
      <c r="L23" s="4"/>
      <c r="M23" s="4"/>
      <c r="N23" s="4"/>
      <c r="O23" s="4"/>
      <c r="P23" s="4"/>
      <c r="Q23" s="4"/>
      <c r="R23" s="4"/>
      <c r="S23" s="5"/>
    </row>
    <row r="24" spans="1:19" x14ac:dyDescent="0.5">
      <c r="A24" s="3"/>
      <c r="B24" s="4"/>
      <c r="C24" s="4"/>
      <c r="D24" s="4"/>
      <c r="E24" s="4"/>
      <c r="F24" s="4"/>
      <c r="G24" s="4"/>
      <c r="H24" s="4"/>
      <c r="I24" s="4"/>
      <c r="J24" s="5"/>
      <c r="K24" s="4"/>
      <c r="L24" s="4"/>
      <c r="M24" s="4"/>
      <c r="N24" s="4"/>
      <c r="O24" s="4"/>
      <c r="P24" s="4"/>
      <c r="Q24" s="4"/>
      <c r="R24" s="4"/>
      <c r="S24" s="5"/>
    </row>
    <row r="25" spans="1:19" x14ac:dyDescent="0.5">
      <c r="A25" s="3"/>
      <c r="B25" s="4"/>
      <c r="C25" s="4"/>
      <c r="D25" s="4"/>
      <c r="E25" s="4"/>
      <c r="F25" s="4"/>
      <c r="G25" s="4"/>
      <c r="H25" s="4"/>
      <c r="I25" s="4"/>
      <c r="J25" s="5"/>
      <c r="K25" s="4"/>
      <c r="L25" s="4"/>
      <c r="M25" s="4"/>
      <c r="N25" s="4"/>
      <c r="O25" s="4"/>
      <c r="P25" s="4"/>
      <c r="Q25" s="4"/>
      <c r="R25" s="4"/>
      <c r="S25" s="5"/>
    </row>
    <row r="26" spans="1:19" x14ac:dyDescent="0.5">
      <c r="A26" s="3"/>
      <c r="B26" s="4"/>
      <c r="C26" s="7" t="s">
        <v>8</v>
      </c>
      <c r="D26" s="4">
        <f>C22+F22+I22</f>
        <v>3341</v>
      </c>
      <c r="E26" s="4"/>
      <c r="F26" s="4"/>
      <c r="G26" s="4"/>
      <c r="H26" s="4"/>
      <c r="I26" s="4"/>
      <c r="J26" s="5"/>
      <c r="K26" s="7" t="s">
        <v>4</v>
      </c>
      <c r="L26" s="4"/>
      <c r="M26" s="4"/>
      <c r="N26" s="4"/>
      <c r="O26" s="4"/>
      <c r="P26" s="4">
        <f>N22+Q22</f>
        <v>976</v>
      </c>
      <c r="Q26" s="4"/>
      <c r="R26" s="4"/>
      <c r="S26" s="5"/>
    </row>
    <row r="27" spans="1:19" x14ac:dyDescent="0.5">
      <c r="A27" s="3"/>
      <c r="B27" s="4"/>
      <c r="C27" s="4"/>
      <c r="D27" s="4"/>
      <c r="E27" s="4"/>
      <c r="F27" s="4"/>
      <c r="G27" s="4"/>
      <c r="H27" s="4"/>
      <c r="I27" s="4"/>
      <c r="J27" s="5"/>
      <c r="K27" s="4"/>
      <c r="L27" s="4"/>
      <c r="M27" s="4"/>
      <c r="N27" s="4"/>
      <c r="O27" s="4"/>
      <c r="P27" s="4"/>
      <c r="Q27" s="4"/>
      <c r="R27" s="4"/>
      <c r="S27" s="5"/>
    </row>
    <row r="28" spans="1:19" x14ac:dyDescent="0.5">
      <c r="A28" s="3"/>
      <c r="B28" s="4"/>
      <c r="C28" s="4"/>
      <c r="D28" s="4"/>
      <c r="E28" s="4"/>
      <c r="F28" s="4"/>
      <c r="G28" s="4"/>
      <c r="H28" s="4"/>
      <c r="I28" s="4"/>
      <c r="J28" s="5"/>
      <c r="K28" s="4"/>
      <c r="L28" s="4"/>
      <c r="M28" s="4"/>
      <c r="N28" s="4"/>
      <c r="O28" s="4"/>
      <c r="P28" s="4"/>
      <c r="Q28" s="4"/>
      <c r="R28" s="4"/>
      <c r="S28" s="5"/>
    </row>
    <row r="29" spans="1:19" x14ac:dyDescent="0.5">
      <c r="A29" s="3"/>
      <c r="B29" s="7" t="s">
        <v>74</v>
      </c>
      <c r="C29" s="4">
        <f>ABS(G4-D26)</f>
        <v>3341</v>
      </c>
      <c r="D29" s="4"/>
      <c r="E29" s="4"/>
      <c r="F29" s="4"/>
      <c r="G29" s="4"/>
      <c r="H29" s="4"/>
      <c r="I29" s="4"/>
      <c r="J29" s="5"/>
      <c r="K29" s="7" t="s">
        <v>21</v>
      </c>
      <c r="L29" s="4">
        <f>O4-P26</f>
        <v>504</v>
      </c>
      <c r="M29" s="4"/>
      <c r="N29" s="4"/>
      <c r="O29" s="4"/>
      <c r="P29" s="4"/>
      <c r="Q29" s="4"/>
      <c r="R29" s="4"/>
      <c r="S29" s="5"/>
    </row>
    <row r="30" spans="1:19" x14ac:dyDescent="0.5">
      <c r="A30" s="3"/>
      <c r="B30" s="4"/>
      <c r="C30" s="4"/>
      <c r="D30" s="4"/>
      <c r="E30" s="4"/>
      <c r="F30" s="4"/>
      <c r="G30" s="4"/>
      <c r="H30" s="4"/>
      <c r="I30" s="4"/>
      <c r="J30" s="5"/>
      <c r="K30" s="4"/>
      <c r="L30" s="4"/>
      <c r="M30" s="4"/>
      <c r="N30" s="4"/>
      <c r="O30" s="4"/>
      <c r="P30" s="4"/>
      <c r="Q30" s="4"/>
      <c r="R30" s="4"/>
      <c r="S30" s="5"/>
    </row>
    <row r="31" spans="1:19" x14ac:dyDescent="0.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 x14ac:dyDescent="0.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5">
      <c r="A34" s="2"/>
      <c r="B34" s="7" t="s">
        <v>25</v>
      </c>
      <c r="C34" s="4">
        <f>H4-D26</f>
        <v>2659</v>
      </c>
      <c r="D34" s="4"/>
      <c r="E34" s="4"/>
      <c r="F34" s="4"/>
      <c r="G34" s="4"/>
      <c r="H34" s="4"/>
      <c r="I34" s="4"/>
      <c r="J34" s="4">
        <f>C29+L29</f>
        <v>3845</v>
      </c>
      <c r="K34" s="4"/>
      <c r="L34" s="4"/>
      <c r="M34" s="4"/>
      <c r="N34" s="4"/>
      <c r="O34" s="4"/>
      <c r="P34" s="4"/>
      <c r="Q34" s="4"/>
      <c r="R34" s="4"/>
      <c r="S34" s="4"/>
    </row>
    <row r="35" spans="1:19" x14ac:dyDescent="0.5">
      <c r="A35" s="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x14ac:dyDescent="0.5">
      <c r="E36">
        <f>5.2+13.8+10.96+13+13+21+6.99+47+62+12+68+40</f>
        <v>312.95</v>
      </c>
    </row>
    <row r="39" spans="1:19" x14ac:dyDescent="0.5">
      <c r="I39" t="s">
        <v>208</v>
      </c>
      <c r="J39">
        <v>39</v>
      </c>
      <c r="L39" t="s">
        <v>214</v>
      </c>
      <c r="M39">
        <f>SUM(J39:J58)</f>
        <v>22002</v>
      </c>
    </row>
    <row r="40" spans="1:19" ht="16.5" x14ac:dyDescent="0.6">
      <c r="E40" s="13" t="s">
        <v>196</v>
      </c>
      <c r="F40">
        <v>500</v>
      </c>
      <c r="I40" t="s">
        <v>209</v>
      </c>
      <c r="J40">
        <v>100</v>
      </c>
    </row>
    <row r="41" spans="1:19" ht="16.5" x14ac:dyDescent="0.6">
      <c r="E41" s="13" t="s">
        <v>197</v>
      </c>
      <c r="F41">
        <v>800</v>
      </c>
      <c r="I41" t="s">
        <v>210</v>
      </c>
      <c r="J41">
        <v>21</v>
      </c>
    </row>
    <row r="42" spans="1:19" ht="16.5" x14ac:dyDescent="0.6">
      <c r="E42" s="13" t="s">
        <v>198</v>
      </c>
      <c r="F42">
        <v>200</v>
      </c>
      <c r="I42" t="s">
        <v>211</v>
      </c>
      <c r="J42">
        <v>20</v>
      </c>
    </row>
    <row r="43" spans="1:19" ht="16.5" x14ac:dyDescent="0.6">
      <c r="E43" s="13" t="s">
        <v>199</v>
      </c>
      <c r="F43">
        <v>2000</v>
      </c>
      <c r="I43" t="s">
        <v>212</v>
      </c>
      <c r="J43">
        <v>20</v>
      </c>
    </row>
    <row r="44" spans="1:19" ht="16.5" x14ac:dyDescent="0.6">
      <c r="E44" s="13" t="s">
        <v>205</v>
      </c>
      <c r="F44">
        <v>500</v>
      </c>
      <c r="I44" t="s">
        <v>212</v>
      </c>
      <c r="J44">
        <v>27</v>
      </c>
    </row>
    <row r="45" spans="1:19" ht="16.5" x14ac:dyDescent="0.6">
      <c r="E45" s="13" t="s">
        <v>200</v>
      </c>
      <c r="F45">
        <v>100</v>
      </c>
      <c r="I45" t="s">
        <v>213</v>
      </c>
      <c r="J45">
        <v>67</v>
      </c>
    </row>
    <row r="46" spans="1:19" ht="16.5" x14ac:dyDescent="0.6">
      <c r="E46" s="13" t="s">
        <v>201</v>
      </c>
      <c r="F46">
        <v>67</v>
      </c>
      <c r="I46" t="s">
        <v>22</v>
      </c>
      <c r="J46">
        <v>28</v>
      </c>
    </row>
    <row r="47" spans="1:19" ht="16.5" x14ac:dyDescent="0.6">
      <c r="E47" s="13" t="s">
        <v>202</v>
      </c>
      <c r="F47">
        <v>50</v>
      </c>
      <c r="I47" t="s">
        <v>215</v>
      </c>
      <c r="J47">
        <v>31</v>
      </c>
    </row>
    <row r="48" spans="1:19" ht="16.5" x14ac:dyDescent="0.6">
      <c r="E48" s="13" t="s">
        <v>203</v>
      </c>
      <c r="F48">
        <v>70</v>
      </c>
      <c r="I48" t="s">
        <v>216</v>
      </c>
      <c r="J48">
        <v>32</v>
      </c>
    </row>
    <row r="49" spans="2:10" ht="16.5" x14ac:dyDescent="0.6">
      <c r="E49" s="13" t="s">
        <v>204</v>
      </c>
      <c r="F49">
        <v>300</v>
      </c>
      <c r="I49" t="s">
        <v>217</v>
      </c>
      <c r="J49">
        <v>46</v>
      </c>
    </row>
    <row r="50" spans="2:10" ht="16.5" x14ac:dyDescent="0.6">
      <c r="E50" s="13" t="s">
        <v>206</v>
      </c>
      <c r="F50">
        <v>100</v>
      </c>
      <c r="I50" t="s">
        <v>24</v>
      </c>
      <c r="J50">
        <v>20914</v>
      </c>
    </row>
    <row r="51" spans="2:10" x14ac:dyDescent="0.5">
      <c r="I51" t="s">
        <v>219</v>
      </c>
      <c r="J51">
        <v>357</v>
      </c>
    </row>
    <row r="52" spans="2:10" x14ac:dyDescent="0.5">
      <c r="J52">
        <v>300</v>
      </c>
    </row>
    <row r="54" spans="2:10" x14ac:dyDescent="0.5">
      <c r="F54">
        <f>SUM(F40:F50)</f>
        <v>4687</v>
      </c>
    </row>
    <row r="62" spans="2:10" x14ac:dyDescent="0.5">
      <c r="B62" s="7" t="s">
        <v>2</v>
      </c>
      <c r="C62" s="4">
        <v>1900</v>
      </c>
    </row>
    <row r="98" spans="2:16" x14ac:dyDescent="0.5">
      <c r="B98">
        <v>3000</v>
      </c>
    </row>
    <row r="99" spans="2:16" x14ac:dyDescent="0.5">
      <c r="B99">
        <v>2500</v>
      </c>
      <c r="J99">
        <v>3000</v>
      </c>
    </row>
    <row r="100" spans="2:16" x14ac:dyDescent="0.5">
      <c r="B100">
        <v>2500</v>
      </c>
      <c r="J100">
        <v>600</v>
      </c>
    </row>
    <row r="101" spans="2:16" x14ac:dyDescent="0.5">
      <c r="B101">
        <v>800</v>
      </c>
    </row>
    <row r="102" spans="2:16" x14ac:dyDescent="0.5">
      <c r="B102">
        <v>700</v>
      </c>
    </row>
    <row r="106" spans="2:16" x14ac:dyDescent="0.5">
      <c r="B106">
        <f>SUM(B98:B102)</f>
        <v>9500</v>
      </c>
      <c r="D106">
        <f>B106-7000</f>
        <v>2500</v>
      </c>
    </row>
    <row r="107" spans="2:16" x14ac:dyDescent="0.5">
      <c r="P107">
        <v>126</v>
      </c>
    </row>
    <row r="108" spans="2:16" x14ac:dyDescent="0.5">
      <c r="P108" s="4">
        <v>12</v>
      </c>
    </row>
    <row r="109" spans="2:16" x14ac:dyDescent="0.5">
      <c r="P109" s="4">
        <v>10</v>
      </c>
    </row>
    <row r="110" spans="2:16" x14ac:dyDescent="0.5">
      <c r="P110" s="4">
        <v>20</v>
      </c>
    </row>
    <row r="111" spans="2:16" x14ac:dyDescent="0.5">
      <c r="P111" s="4">
        <v>20</v>
      </c>
    </row>
    <row r="112" spans="2:16" x14ac:dyDescent="0.5">
      <c r="P112" s="4">
        <v>20</v>
      </c>
    </row>
    <row r="113" spans="5:16" x14ac:dyDescent="0.5">
      <c r="P113" s="4">
        <v>3.99</v>
      </c>
    </row>
    <row r="114" spans="5:16" x14ac:dyDescent="0.5">
      <c r="P114" s="4">
        <v>100</v>
      </c>
    </row>
    <row r="115" spans="5:16" x14ac:dyDescent="0.5">
      <c r="E115">
        <v>1400</v>
      </c>
      <c r="P115" s="4">
        <v>75</v>
      </c>
    </row>
    <row r="116" spans="5:16" x14ac:dyDescent="0.5">
      <c r="E116">
        <v>1300</v>
      </c>
      <c r="P116" s="4">
        <v>60</v>
      </c>
    </row>
    <row r="117" spans="5:16" x14ac:dyDescent="0.5">
      <c r="E117">
        <v>950</v>
      </c>
      <c r="P117" s="4"/>
    </row>
    <row r="118" spans="5:16" x14ac:dyDescent="0.5">
      <c r="P118" s="4">
        <v>70</v>
      </c>
    </row>
    <row r="121" spans="5:16" x14ac:dyDescent="0.5">
      <c r="E121">
        <f>SUM(E115:E119)</f>
        <v>3650</v>
      </c>
    </row>
    <row r="125" spans="5:16" x14ac:dyDescent="0.5">
      <c r="P125">
        <f>SUM(P105:P122)</f>
        <v>516.99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066F-70AB-4CE0-9413-18C0CA619219}">
  <sheetPr codeName="Feuil20"/>
  <dimension ref="A1:O41"/>
  <sheetViews>
    <sheetView topLeftCell="A19" workbookViewId="0">
      <selection activeCell="C35" sqref="C35"/>
    </sheetView>
  </sheetViews>
  <sheetFormatPr baseColWidth="10" defaultRowHeight="15.75" x14ac:dyDescent="0.5"/>
  <cols>
    <col min="7" max="7" width="12" bestFit="1" customWidth="1"/>
  </cols>
  <sheetData>
    <row r="1" spans="1:15" x14ac:dyDescent="0.5">
      <c r="A1" t="s">
        <v>57</v>
      </c>
      <c r="B1" t="s">
        <v>7</v>
      </c>
    </row>
    <row r="2" spans="1:15" x14ac:dyDescent="0.5">
      <c r="A2">
        <v>11500</v>
      </c>
      <c r="B2">
        <v>10000</v>
      </c>
      <c r="G2" t="s">
        <v>64</v>
      </c>
    </row>
    <row r="3" spans="1:15" x14ac:dyDescent="0.5">
      <c r="G3" t="s">
        <v>65</v>
      </c>
      <c r="H3">
        <v>3000</v>
      </c>
    </row>
    <row r="4" spans="1:15" x14ac:dyDescent="0.5">
      <c r="G4" t="s">
        <v>66</v>
      </c>
      <c r="H4">
        <v>4000</v>
      </c>
    </row>
    <row r="5" spans="1:15" x14ac:dyDescent="0.5">
      <c r="G5" t="s">
        <v>67</v>
      </c>
      <c r="H5">
        <v>3000</v>
      </c>
      <c r="J5">
        <v>1500</v>
      </c>
    </row>
    <row r="6" spans="1:15" x14ac:dyDescent="0.5">
      <c r="A6" t="s">
        <v>4</v>
      </c>
      <c r="B6">
        <f>SUM(A2:G2)</f>
        <v>21500</v>
      </c>
      <c r="G6" t="s">
        <v>68</v>
      </c>
      <c r="H6">
        <v>5000</v>
      </c>
      <c r="J6">
        <v>153</v>
      </c>
    </row>
    <row r="7" spans="1:15" x14ac:dyDescent="0.5">
      <c r="G7" t="s">
        <v>69</v>
      </c>
      <c r="H7">
        <v>4000</v>
      </c>
      <c r="J7">
        <v>163</v>
      </c>
      <c r="L7" t="s">
        <v>225</v>
      </c>
      <c r="M7">
        <v>500</v>
      </c>
      <c r="O7">
        <v>400</v>
      </c>
    </row>
    <row r="8" spans="1:15" x14ac:dyDescent="0.5">
      <c r="G8" t="s">
        <v>71</v>
      </c>
      <c r="H8">
        <v>4000</v>
      </c>
      <c r="J8">
        <v>400</v>
      </c>
      <c r="L8" t="s">
        <v>81</v>
      </c>
      <c r="M8">
        <v>500</v>
      </c>
      <c r="O8">
        <v>300</v>
      </c>
    </row>
    <row r="9" spans="1:15" x14ac:dyDescent="0.5">
      <c r="G9" t="s">
        <v>80</v>
      </c>
      <c r="H9">
        <v>3000</v>
      </c>
      <c r="J9">
        <v>300</v>
      </c>
      <c r="L9" t="s">
        <v>87</v>
      </c>
      <c r="M9">
        <v>500</v>
      </c>
      <c r="O9">
        <v>600</v>
      </c>
    </row>
    <row r="10" spans="1:15" x14ac:dyDescent="0.5">
      <c r="G10" t="s">
        <v>81</v>
      </c>
      <c r="H10">
        <v>3000</v>
      </c>
      <c r="I10" t="s">
        <v>70</v>
      </c>
      <c r="J10">
        <v>1300</v>
      </c>
      <c r="L10" t="s">
        <v>88</v>
      </c>
      <c r="M10">
        <v>500</v>
      </c>
    </row>
    <row r="11" spans="1:15" x14ac:dyDescent="0.5">
      <c r="G11" t="s">
        <v>87</v>
      </c>
      <c r="H11">
        <v>3000</v>
      </c>
      <c r="J11">
        <v>1000</v>
      </c>
      <c r="L11" t="s">
        <v>69</v>
      </c>
      <c r="M11">
        <v>500</v>
      </c>
    </row>
    <row r="12" spans="1:15" x14ac:dyDescent="0.5">
      <c r="J12">
        <v>300</v>
      </c>
      <c r="L12" t="s">
        <v>259</v>
      </c>
      <c r="M12">
        <v>500</v>
      </c>
    </row>
    <row r="13" spans="1:15" x14ac:dyDescent="0.5">
      <c r="L13" t="s">
        <v>68</v>
      </c>
      <c r="M13">
        <v>500</v>
      </c>
    </row>
    <row r="14" spans="1:15" x14ac:dyDescent="0.5">
      <c r="J14">
        <f>SUM(J5:J12)</f>
        <v>5116</v>
      </c>
      <c r="L14" t="s">
        <v>90</v>
      </c>
    </row>
    <row r="15" spans="1:15" x14ac:dyDescent="0.5">
      <c r="L15" t="s">
        <v>67</v>
      </c>
      <c r="M15">
        <v>500</v>
      </c>
    </row>
    <row r="16" spans="1:15" x14ac:dyDescent="0.5">
      <c r="I16" t="s">
        <v>21</v>
      </c>
      <c r="J16">
        <f>J14-M22</f>
        <v>1116</v>
      </c>
      <c r="L16" t="s">
        <v>298</v>
      </c>
    </row>
    <row r="17" spans="1:15" x14ac:dyDescent="0.5">
      <c r="O17" t="s">
        <v>70</v>
      </c>
    </row>
    <row r="19" spans="1:15" x14ac:dyDescent="0.5">
      <c r="F19" t="s">
        <v>4</v>
      </c>
      <c r="H19">
        <f>SUM(H3:H17)</f>
        <v>32000</v>
      </c>
    </row>
    <row r="20" spans="1:15" x14ac:dyDescent="0.5">
      <c r="A20" t="s">
        <v>21</v>
      </c>
      <c r="B20">
        <f>B6-F41</f>
        <v>15000</v>
      </c>
    </row>
    <row r="22" spans="1:15" x14ac:dyDescent="0.5">
      <c r="M22">
        <f>SUM(M7:M20)</f>
        <v>4000</v>
      </c>
    </row>
    <row r="24" spans="1:15" x14ac:dyDescent="0.5">
      <c r="A24" s="9" t="s">
        <v>73</v>
      </c>
      <c r="B24" s="9"/>
      <c r="C24" s="9"/>
      <c r="D24" s="9"/>
      <c r="E24" s="9"/>
      <c r="F24" s="9"/>
    </row>
    <row r="25" spans="1:15" x14ac:dyDescent="0.5">
      <c r="A25" s="9"/>
      <c r="B25" s="9"/>
      <c r="C25" s="9"/>
      <c r="D25" s="9"/>
      <c r="E25" s="9"/>
      <c r="F25" s="9"/>
    </row>
    <row r="26" spans="1:15" x14ac:dyDescent="0.5">
      <c r="A26" s="10"/>
      <c r="B26" s="10" t="s">
        <v>82</v>
      </c>
      <c r="C26" s="10" t="s">
        <v>83</v>
      </c>
      <c r="D26" s="10" t="s">
        <v>79</v>
      </c>
      <c r="E26" s="10" t="s">
        <v>84</v>
      </c>
      <c r="F26" s="9"/>
    </row>
    <row r="27" spans="1:15" x14ac:dyDescent="0.5">
      <c r="A27" s="9" t="s">
        <v>81</v>
      </c>
      <c r="B27" s="9">
        <v>500</v>
      </c>
      <c r="C27" s="9"/>
      <c r="D27" s="9"/>
      <c r="E27" s="9"/>
      <c r="F27" s="9"/>
    </row>
    <row r="28" spans="1:15" x14ac:dyDescent="0.5">
      <c r="A28" s="9" t="s">
        <v>87</v>
      </c>
      <c r="B28" s="9"/>
      <c r="C28" s="9">
        <v>1000</v>
      </c>
      <c r="D28" s="9"/>
      <c r="E28" s="9"/>
      <c r="F28" s="9"/>
    </row>
    <row r="29" spans="1:15" x14ac:dyDescent="0.5">
      <c r="A29" s="9" t="s">
        <v>88</v>
      </c>
      <c r="B29" s="9">
        <v>500</v>
      </c>
      <c r="C29" s="9"/>
      <c r="D29" s="9"/>
      <c r="E29" s="9"/>
      <c r="F29" s="9"/>
    </row>
    <row r="30" spans="1:15" x14ac:dyDescent="0.5">
      <c r="A30" s="9" t="s">
        <v>69</v>
      </c>
      <c r="B30" s="9"/>
      <c r="C30" s="9">
        <v>1000</v>
      </c>
      <c r="D30" s="9"/>
      <c r="E30" s="9"/>
      <c r="F30" s="9"/>
    </row>
    <row r="31" spans="1:15" x14ac:dyDescent="0.5">
      <c r="A31" s="9" t="s">
        <v>89</v>
      </c>
      <c r="B31" s="9">
        <v>500</v>
      </c>
      <c r="C31" s="9"/>
      <c r="D31" s="9"/>
      <c r="E31" s="9"/>
      <c r="F31" s="9"/>
    </row>
    <row r="32" spans="1:15" x14ac:dyDescent="0.5">
      <c r="A32" s="9" t="s">
        <v>68</v>
      </c>
      <c r="B32" s="9">
        <v>400</v>
      </c>
      <c r="C32" s="9">
        <v>1000</v>
      </c>
      <c r="D32" s="9"/>
      <c r="E32" s="9"/>
      <c r="F32" s="9"/>
    </row>
    <row r="33" spans="1:6" x14ac:dyDescent="0.5">
      <c r="A33" s="9" t="s">
        <v>90</v>
      </c>
      <c r="B33" s="9">
        <v>600</v>
      </c>
      <c r="C33" s="9"/>
      <c r="D33" s="9"/>
      <c r="E33" s="9"/>
      <c r="F33" s="9"/>
    </row>
    <row r="34" spans="1:6" x14ac:dyDescent="0.5">
      <c r="A34" s="9" t="s">
        <v>306</v>
      </c>
      <c r="B34" s="9"/>
      <c r="C34" s="9">
        <v>1000</v>
      </c>
      <c r="D34" s="9"/>
      <c r="E34" s="9"/>
      <c r="F34" s="9"/>
    </row>
    <row r="35" spans="1:6" x14ac:dyDescent="0.5">
      <c r="A35" s="9" t="s">
        <v>307</v>
      </c>
      <c r="B35" s="9"/>
      <c r="C35" s="9"/>
      <c r="D35" s="9"/>
      <c r="E35" s="9"/>
      <c r="F35" s="9"/>
    </row>
    <row r="36" spans="1:6" x14ac:dyDescent="0.5">
      <c r="A36" s="9" t="s">
        <v>65</v>
      </c>
      <c r="B36" s="9"/>
      <c r="C36" s="9"/>
      <c r="D36" s="9"/>
      <c r="E36" s="9"/>
      <c r="F36" s="9"/>
    </row>
    <row r="37" spans="1:6" x14ac:dyDescent="0.5">
      <c r="A37" s="9"/>
      <c r="B37" s="9"/>
      <c r="C37" s="9"/>
      <c r="D37" s="9"/>
      <c r="E37" s="9"/>
      <c r="F37" s="9"/>
    </row>
    <row r="38" spans="1:6" x14ac:dyDescent="0.5">
      <c r="A38" s="9"/>
      <c r="B38" s="9"/>
      <c r="C38" s="9"/>
      <c r="D38" s="9"/>
      <c r="E38" s="9"/>
      <c r="F38" s="9"/>
    </row>
    <row r="39" spans="1:6" x14ac:dyDescent="0.5">
      <c r="A39" s="9"/>
      <c r="B39" s="9"/>
      <c r="C39" s="9"/>
      <c r="D39" s="9"/>
      <c r="E39" s="9"/>
      <c r="F39" s="9"/>
    </row>
    <row r="40" spans="1:6" x14ac:dyDescent="0.5">
      <c r="A40" s="9"/>
      <c r="B40" s="9"/>
      <c r="C40" s="9"/>
      <c r="D40" s="9"/>
      <c r="E40" s="9"/>
      <c r="F40" s="9"/>
    </row>
    <row r="41" spans="1:6" x14ac:dyDescent="0.5">
      <c r="A41" s="10" t="s">
        <v>4</v>
      </c>
      <c r="B41" s="10">
        <f>SUM(B27:B39)</f>
        <v>2500</v>
      </c>
      <c r="C41" s="10">
        <f>SUM(C27:C39)</f>
        <v>4000</v>
      </c>
      <c r="D41" s="10">
        <f>SUM(D27:D39)</f>
        <v>0</v>
      </c>
      <c r="E41" s="10">
        <f>SUM(E27:E39)</f>
        <v>0</v>
      </c>
      <c r="F41" s="10">
        <f>SUM(B41:E41)</f>
        <v>6500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0FB8E-CB12-475E-9D50-00930E5BD370}">
  <sheetPr codeName="Feuil21"/>
  <dimension ref="A1:J36"/>
  <sheetViews>
    <sheetView topLeftCell="A12" workbookViewId="0">
      <selection activeCell="F34" sqref="F34"/>
    </sheetView>
  </sheetViews>
  <sheetFormatPr baseColWidth="10" defaultRowHeight="15.75" x14ac:dyDescent="0.5"/>
  <cols>
    <col min="1" max="1" width="11.125" bestFit="1" customWidth="1"/>
    <col min="4" max="4" width="18.75" customWidth="1"/>
    <col min="5" max="5" width="14" bestFit="1" customWidth="1"/>
    <col min="6" max="6" width="22.25" customWidth="1"/>
    <col min="7" max="7" width="13" bestFit="1" customWidth="1"/>
    <col min="9" max="9" width="20.875" bestFit="1" customWidth="1"/>
  </cols>
  <sheetData>
    <row r="1" spans="1:10" x14ac:dyDescent="0.5">
      <c r="C1" t="s">
        <v>128</v>
      </c>
      <c r="D1" t="s">
        <v>129</v>
      </c>
      <c r="E1" t="s">
        <v>126</v>
      </c>
      <c r="F1" t="s">
        <v>127</v>
      </c>
      <c r="G1" t="s">
        <v>130</v>
      </c>
      <c r="I1" t="s">
        <v>161</v>
      </c>
      <c r="J1" t="s">
        <v>160</v>
      </c>
    </row>
    <row r="2" spans="1:10" x14ac:dyDescent="0.5">
      <c r="A2" t="s">
        <v>131</v>
      </c>
      <c r="B2" t="s">
        <v>156</v>
      </c>
      <c r="C2" s="12">
        <v>9456</v>
      </c>
      <c r="D2" s="12">
        <f>C2+(C2*20%)</f>
        <v>11347.2</v>
      </c>
      <c r="E2" s="12">
        <f>C2*21%</f>
        <v>1985.76</v>
      </c>
      <c r="F2" s="12">
        <f>C2-E2</f>
        <v>7470.24</v>
      </c>
      <c r="G2" s="12">
        <f>D2-C2</f>
        <v>1891.2000000000007</v>
      </c>
    </row>
    <row r="3" spans="1:10" x14ac:dyDescent="0.5">
      <c r="A3" t="s">
        <v>132</v>
      </c>
      <c r="B3" t="s">
        <v>156</v>
      </c>
      <c r="C3" s="1">
        <v>0</v>
      </c>
      <c r="D3" s="1">
        <f>C3+(C3*20%)</f>
        <v>0</v>
      </c>
      <c r="E3" s="1">
        <f>C3*21%</f>
        <v>0</v>
      </c>
      <c r="F3" s="1">
        <f>C3-E3</f>
        <v>0</v>
      </c>
      <c r="G3" s="1">
        <f>D3-C3</f>
        <v>0</v>
      </c>
    </row>
    <row r="5" spans="1:10" x14ac:dyDescent="0.5">
      <c r="A5" t="s">
        <v>158</v>
      </c>
      <c r="C5">
        <f>C2+C3</f>
        <v>9456</v>
      </c>
      <c r="D5">
        <f>D2+D3</f>
        <v>11347.2</v>
      </c>
      <c r="E5" s="1">
        <f>E2+E3</f>
        <v>1985.76</v>
      </c>
      <c r="F5" s="11">
        <f>F2+F3</f>
        <v>7470.24</v>
      </c>
      <c r="G5" s="1">
        <f>G2+G3</f>
        <v>1891.2000000000007</v>
      </c>
      <c r="I5">
        <f>E5+G5</f>
        <v>3876.9600000000009</v>
      </c>
    </row>
    <row r="9" spans="1:10" x14ac:dyDescent="0.5">
      <c r="A9" t="s">
        <v>131</v>
      </c>
      <c r="B9" t="s">
        <v>157</v>
      </c>
      <c r="C9" s="12">
        <v>9600</v>
      </c>
      <c r="D9" s="12">
        <f>C9+(C9*20%)</f>
        <v>11520</v>
      </c>
      <c r="E9" s="12">
        <f>C9*21%</f>
        <v>2016</v>
      </c>
      <c r="F9" s="12">
        <f>C9-E9</f>
        <v>7584</v>
      </c>
      <c r="G9" s="12">
        <f>D9-C9</f>
        <v>1920</v>
      </c>
    </row>
    <row r="10" spans="1:10" x14ac:dyDescent="0.5">
      <c r="A10" t="s">
        <v>132</v>
      </c>
      <c r="B10" t="s">
        <v>157</v>
      </c>
      <c r="C10" s="1">
        <f>1300+3200+600</f>
        <v>5100</v>
      </c>
      <c r="D10" s="1">
        <f>C10+(C10*20%)</f>
        <v>6120</v>
      </c>
      <c r="E10" s="1">
        <f>C10*21%</f>
        <v>1071</v>
      </c>
      <c r="F10" s="1">
        <f>C10-E10</f>
        <v>4029</v>
      </c>
      <c r="G10" s="1">
        <f>D10-C10</f>
        <v>1020</v>
      </c>
    </row>
    <row r="12" spans="1:10" x14ac:dyDescent="0.5">
      <c r="A12" t="s">
        <v>159</v>
      </c>
      <c r="C12">
        <f>C9+C10</f>
        <v>14700</v>
      </c>
      <c r="D12">
        <f>D9+D10</f>
        <v>17640</v>
      </c>
      <c r="E12" s="1">
        <f>E9+E10</f>
        <v>3087</v>
      </c>
      <c r="F12" s="11">
        <f>F9+F10</f>
        <v>11613</v>
      </c>
      <c r="G12" s="1">
        <f>G9+G10</f>
        <v>2940</v>
      </c>
      <c r="I12">
        <f>E12+G12</f>
        <v>6027</v>
      </c>
    </row>
    <row r="15" spans="1:10" x14ac:dyDescent="0.5">
      <c r="A15" t="s">
        <v>131</v>
      </c>
      <c r="B15" t="s">
        <v>193</v>
      </c>
      <c r="C15" s="12">
        <v>12000</v>
      </c>
      <c r="D15" s="12">
        <f>C15+(C15*20%)</f>
        <v>14400</v>
      </c>
      <c r="E15" s="12">
        <f>C15*21%</f>
        <v>2520</v>
      </c>
      <c r="F15" s="12">
        <f>C15-E15</f>
        <v>9480</v>
      </c>
      <c r="G15" s="12">
        <f>D15-C15</f>
        <v>2400</v>
      </c>
    </row>
    <row r="16" spans="1:10" x14ac:dyDescent="0.5">
      <c r="A16" t="s">
        <v>132</v>
      </c>
      <c r="B16" t="s">
        <v>193</v>
      </c>
      <c r="C16" s="1">
        <f>3000+3750+3375</f>
        <v>10125</v>
      </c>
      <c r="D16" s="1">
        <f>C16+(C16*20%)</f>
        <v>12150</v>
      </c>
      <c r="E16" s="1">
        <f>C16*21%</f>
        <v>2126.25</v>
      </c>
      <c r="F16" s="1">
        <f>C16-E16</f>
        <v>7998.75</v>
      </c>
      <c r="G16" s="1">
        <f>D16-C16</f>
        <v>2025</v>
      </c>
    </row>
    <row r="18" spans="1:9" x14ac:dyDescent="0.5">
      <c r="A18" t="s">
        <v>194</v>
      </c>
      <c r="C18">
        <f>C15+C16</f>
        <v>22125</v>
      </c>
      <c r="D18">
        <f>D15+D16</f>
        <v>26550</v>
      </c>
      <c r="E18" s="1">
        <f>E15+E16</f>
        <v>4646.25</v>
      </c>
      <c r="F18" s="11">
        <f>F15+F16</f>
        <v>17478.75</v>
      </c>
      <c r="G18" s="1">
        <f>G15+G16</f>
        <v>4425</v>
      </c>
      <c r="I18">
        <f>F18-4100</f>
        <v>13378.75</v>
      </c>
    </row>
    <row r="21" spans="1:9" x14ac:dyDescent="0.5">
      <c r="A21" t="s">
        <v>131</v>
      </c>
      <c r="B21" t="s">
        <v>65</v>
      </c>
      <c r="C21" s="12">
        <v>0</v>
      </c>
      <c r="D21" s="12">
        <f>C21+(C21*20%)</f>
        <v>0</v>
      </c>
      <c r="E21" s="12">
        <f>C21*21%</f>
        <v>0</v>
      </c>
      <c r="F21" s="12">
        <f>C21-E21</f>
        <v>0</v>
      </c>
      <c r="G21" s="12">
        <f>D21-C21</f>
        <v>0</v>
      </c>
    </row>
    <row r="22" spans="1:9" x14ac:dyDescent="0.5">
      <c r="A22" t="s">
        <v>132</v>
      </c>
      <c r="B22" t="s">
        <v>193</v>
      </c>
      <c r="C22" s="1">
        <v>19000</v>
      </c>
      <c r="D22" s="1">
        <f>C22+(C22*20%)</f>
        <v>22800</v>
      </c>
      <c r="E22" s="1">
        <f>C22*23%</f>
        <v>4370</v>
      </c>
      <c r="F22" s="1">
        <f>C22-E22</f>
        <v>14630</v>
      </c>
      <c r="G22" s="1">
        <f>D22-C22</f>
        <v>3800</v>
      </c>
    </row>
    <row r="24" spans="1:9" x14ac:dyDescent="0.5">
      <c r="A24" t="s">
        <v>194</v>
      </c>
      <c r="C24">
        <f>C21+C22</f>
        <v>19000</v>
      </c>
      <c r="D24">
        <f>D21+D22</f>
        <v>22800</v>
      </c>
      <c r="E24" s="1">
        <f>E21+E22</f>
        <v>4370</v>
      </c>
      <c r="F24" s="11">
        <f>F21+F22</f>
        <v>14630</v>
      </c>
      <c r="G24" s="1">
        <f>G21+G22</f>
        <v>3800</v>
      </c>
      <c r="I24">
        <f>F24-4100</f>
        <v>10530</v>
      </c>
    </row>
    <row r="27" spans="1:9" x14ac:dyDescent="0.5">
      <c r="A27" t="s">
        <v>131</v>
      </c>
      <c r="B27" t="s">
        <v>81</v>
      </c>
      <c r="C27" s="12">
        <v>0</v>
      </c>
      <c r="D27" s="12">
        <f>C27+(C27*20%)</f>
        <v>0</v>
      </c>
      <c r="E27" s="12">
        <f>C27*21%</f>
        <v>0</v>
      </c>
      <c r="F27" s="12">
        <f>C27-E27</f>
        <v>0</v>
      </c>
      <c r="G27" s="12">
        <f>D27-C27</f>
        <v>0</v>
      </c>
    </row>
    <row r="28" spans="1:9" x14ac:dyDescent="0.5">
      <c r="A28" t="s">
        <v>132</v>
      </c>
      <c r="B28" t="s">
        <v>193</v>
      </c>
      <c r="C28" s="1">
        <v>8150</v>
      </c>
      <c r="D28" s="1">
        <v>9660</v>
      </c>
      <c r="E28" s="1">
        <f>C28*21%</f>
        <v>1711.5</v>
      </c>
      <c r="F28" s="1">
        <f>C28-E28</f>
        <v>6438.5</v>
      </c>
      <c r="G28" s="1">
        <f>D28-C28</f>
        <v>1510</v>
      </c>
    </row>
    <row r="30" spans="1:9" x14ac:dyDescent="0.5">
      <c r="A30" t="s">
        <v>194</v>
      </c>
      <c r="C30">
        <f>C27+C28</f>
        <v>8150</v>
      </c>
      <c r="D30">
        <f>D27+D28</f>
        <v>9660</v>
      </c>
      <c r="E30" s="1">
        <f>E27+E28</f>
        <v>1711.5</v>
      </c>
      <c r="F30" s="11">
        <f>F27+F28</f>
        <v>6438.5</v>
      </c>
      <c r="G30" s="1">
        <f>G27+G28</f>
        <v>1510</v>
      </c>
    </row>
    <row r="33" spans="1:7" x14ac:dyDescent="0.5">
      <c r="A33" t="s">
        <v>131</v>
      </c>
      <c r="B33" s="15">
        <v>45658</v>
      </c>
      <c r="C33" s="12">
        <v>0</v>
      </c>
      <c r="D33" s="12">
        <f>C33+(C33*20%)</f>
        <v>0</v>
      </c>
      <c r="E33" s="12">
        <f>C33*21%</f>
        <v>0</v>
      </c>
      <c r="F33" s="12">
        <f>C33-E33</f>
        <v>0</v>
      </c>
      <c r="G33" s="12">
        <f>D33-C33</f>
        <v>0</v>
      </c>
    </row>
    <row r="34" spans="1:7" x14ac:dyDescent="0.5">
      <c r="A34" t="s">
        <v>132</v>
      </c>
      <c r="B34" t="s">
        <v>193</v>
      </c>
      <c r="C34" s="1">
        <v>8050</v>
      </c>
      <c r="D34" s="1">
        <v>9660</v>
      </c>
      <c r="E34" s="1">
        <f>C34*26%</f>
        <v>2093</v>
      </c>
      <c r="F34" s="1">
        <f>C34-E34</f>
        <v>5957</v>
      </c>
      <c r="G34" s="1">
        <f>D34-C34</f>
        <v>1610</v>
      </c>
    </row>
    <row r="36" spans="1:7" x14ac:dyDescent="0.5">
      <c r="A36" t="s">
        <v>194</v>
      </c>
      <c r="C36">
        <f>C33+C34</f>
        <v>8050</v>
      </c>
      <c r="D36">
        <f>D33+D34</f>
        <v>9660</v>
      </c>
      <c r="E36" s="1">
        <f>E33+E34</f>
        <v>2093</v>
      </c>
      <c r="F36" s="11">
        <f>F33+F34</f>
        <v>5957</v>
      </c>
      <c r="G36" s="1">
        <f>G33+G34</f>
        <v>1610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00D3-58F8-480F-AA59-9339E917FDF7}">
  <sheetPr codeName="Feuil22"/>
  <dimension ref="A1:R103"/>
  <sheetViews>
    <sheetView topLeftCell="A84" zoomScale="106" workbookViewId="0">
      <selection activeCell="B98" sqref="B98"/>
    </sheetView>
  </sheetViews>
  <sheetFormatPr baseColWidth="10" defaultRowHeight="15.75" x14ac:dyDescent="0.5"/>
  <cols>
    <col min="1" max="1" width="19.375" bestFit="1" customWidth="1"/>
    <col min="2" max="2" width="12" bestFit="1" customWidth="1"/>
    <col min="5" max="5" width="15.125" bestFit="1" customWidth="1"/>
    <col min="8" max="8" width="16" bestFit="1" customWidth="1"/>
    <col min="11" max="11" width="14.75" bestFit="1" customWidth="1"/>
    <col min="12" max="12" width="14.875" bestFit="1" customWidth="1"/>
    <col min="14" max="14" width="16.125" customWidth="1"/>
  </cols>
  <sheetData>
    <row r="1" spans="1:15" x14ac:dyDescent="0.5">
      <c r="A1" t="s">
        <v>91</v>
      </c>
      <c r="D1" t="s">
        <v>92</v>
      </c>
      <c r="H1" t="s">
        <v>94</v>
      </c>
      <c r="L1" t="s">
        <v>105</v>
      </c>
    </row>
    <row r="2" spans="1:15" x14ac:dyDescent="0.5">
      <c r="A2">
        <v>4700000</v>
      </c>
      <c r="D2" t="s">
        <v>93</v>
      </c>
      <c r="E2">
        <v>500000</v>
      </c>
      <c r="H2" t="s">
        <v>95</v>
      </c>
      <c r="J2">
        <v>418000</v>
      </c>
      <c r="L2">
        <f>SUM(J2:J55)</f>
        <v>4898500</v>
      </c>
    </row>
    <row r="3" spans="1:15" x14ac:dyDescent="0.5">
      <c r="D3" t="s">
        <v>93</v>
      </c>
      <c r="E3">
        <v>500000</v>
      </c>
      <c r="H3" t="s">
        <v>96</v>
      </c>
      <c r="J3">
        <v>432000</v>
      </c>
    </row>
    <row r="4" spans="1:15" x14ac:dyDescent="0.5">
      <c r="D4" t="s">
        <v>93</v>
      </c>
      <c r="E4">
        <v>300000</v>
      </c>
      <c r="H4" t="s">
        <v>97</v>
      </c>
      <c r="J4">
        <v>100000</v>
      </c>
    </row>
    <row r="5" spans="1:15" x14ac:dyDescent="0.5">
      <c r="D5" t="s">
        <v>93</v>
      </c>
      <c r="E5">
        <v>16000</v>
      </c>
      <c r="H5" t="s">
        <v>98</v>
      </c>
      <c r="J5">
        <v>25000</v>
      </c>
    </row>
    <row r="6" spans="1:15" x14ac:dyDescent="0.5">
      <c r="D6" t="s">
        <v>110</v>
      </c>
      <c r="E6">
        <v>800000</v>
      </c>
      <c r="H6" t="s">
        <v>99</v>
      </c>
      <c r="J6">
        <v>25000</v>
      </c>
      <c r="N6" t="s">
        <v>249</v>
      </c>
    </row>
    <row r="7" spans="1:15" x14ac:dyDescent="0.5">
      <c r="D7" t="s">
        <v>110</v>
      </c>
      <c r="E7">
        <v>1000000</v>
      </c>
      <c r="H7" t="s">
        <v>100</v>
      </c>
      <c r="J7">
        <v>60000</v>
      </c>
      <c r="N7" t="s">
        <v>225</v>
      </c>
      <c r="O7">
        <v>1000</v>
      </c>
    </row>
    <row r="8" spans="1:15" x14ac:dyDescent="0.5">
      <c r="D8" t="s">
        <v>133</v>
      </c>
      <c r="E8">
        <v>600000</v>
      </c>
      <c r="H8" t="s">
        <v>101</v>
      </c>
      <c r="J8">
        <v>35000</v>
      </c>
      <c r="N8" t="s">
        <v>250</v>
      </c>
      <c r="O8">
        <v>1000</v>
      </c>
    </row>
    <row r="9" spans="1:15" x14ac:dyDescent="0.5">
      <c r="D9" t="s">
        <v>93</v>
      </c>
      <c r="E9">
        <v>600000</v>
      </c>
      <c r="H9" t="s">
        <v>102</v>
      </c>
      <c r="J9">
        <v>28000</v>
      </c>
      <c r="N9" t="s">
        <v>251</v>
      </c>
      <c r="O9">
        <v>4000</v>
      </c>
    </row>
    <row r="10" spans="1:15" x14ac:dyDescent="0.5">
      <c r="D10" t="s">
        <v>93</v>
      </c>
      <c r="E10">
        <v>113000</v>
      </c>
      <c r="H10" t="s">
        <v>103</v>
      </c>
      <c r="J10">
        <v>20000</v>
      </c>
    </row>
    <row r="11" spans="1:15" x14ac:dyDescent="0.5">
      <c r="D11" t="s">
        <v>93</v>
      </c>
      <c r="E11">
        <v>500000</v>
      </c>
      <c r="H11" t="s">
        <v>104</v>
      </c>
      <c r="J11">
        <v>32000</v>
      </c>
    </row>
    <row r="12" spans="1:15" x14ac:dyDescent="0.5">
      <c r="D12" t="s">
        <v>133</v>
      </c>
      <c r="E12">
        <v>466000</v>
      </c>
      <c r="H12" t="s">
        <v>106</v>
      </c>
      <c r="J12">
        <v>125000</v>
      </c>
    </row>
    <row r="13" spans="1:15" x14ac:dyDescent="0.5">
      <c r="D13" t="s">
        <v>150</v>
      </c>
      <c r="E13">
        <v>450000</v>
      </c>
      <c r="H13" t="s">
        <v>109</v>
      </c>
      <c r="J13">
        <v>16000</v>
      </c>
    </row>
    <row r="14" spans="1:15" x14ac:dyDescent="0.5">
      <c r="D14" t="s">
        <v>150</v>
      </c>
      <c r="E14">
        <v>1000000</v>
      </c>
      <c r="H14" t="s">
        <v>120</v>
      </c>
      <c r="J14">
        <v>500000</v>
      </c>
    </row>
    <row r="15" spans="1:15" x14ac:dyDescent="0.5">
      <c r="D15" t="s">
        <v>150</v>
      </c>
      <c r="E15">
        <v>1000000</v>
      </c>
      <c r="H15" t="s">
        <v>121</v>
      </c>
      <c r="J15">
        <v>400000</v>
      </c>
    </row>
    <row r="16" spans="1:15" x14ac:dyDescent="0.5">
      <c r="D16" t="s">
        <v>166</v>
      </c>
      <c r="E16">
        <v>500000</v>
      </c>
      <c r="H16" t="s">
        <v>122</v>
      </c>
      <c r="J16">
        <v>460000</v>
      </c>
    </row>
    <row r="17" spans="1:15" x14ac:dyDescent="0.5">
      <c r="D17" t="s">
        <v>110</v>
      </c>
      <c r="E17">
        <v>850000</v>
      </c>
      <c r="H17" t="s">
        <v>123</v>
      </c>
      <c r="J17">
        <v>45000</v>
      </c>
    </row>
    <row r="18" spans="1:15" x14ac:dyDescent="0.5">
      <c r="D18" t="s">
        <v>110</v>
      </c>
      <c r="E18">
        <v>250000</v>
      </c>
    </row>
    <row r="19" spans="1:15" x14ac:dyDescent="0.5">
      <c r="D19" t="s">
        <v>110</v>
      </c>
      <c r="E19">
        <v>125000</v>
      </c>
    </row>
    <row r="23" spans="1:15" x14ac:dyDescent="0.5">
      <c r="H23" t="s">
        <v>124</v>
      </c>
      <c r="J23">
        <v>14000</v>
      </c>
      <c r="N23" t="s">
        <v>252</v>
      </c>
      <c r="O23">
        <f>SUM(O7:O19)</f>
        <v>6000</v>
      </c>
    </row>
    <row r="24" spans="1:15" x14ac:dyDescent="0.5">
      <c r="H24" t="s">
        <v>23</v>
      </c>
      <c r="J24">
        <v>600000</v>
      </c>
    </row>
    <row r="25" spans="1:15" x14ac:dyDescent="0.5">
      <c r="D25" t="s">
        <v>35</v>
      </c>
      <c r="E25">
        <f>SUM(E2:E22)</f>
        <v>9570000</v>
      </c>
      <c r="F25">
        <f>E25/655</f>
        <v>14610.687022900764</v>
      </c>
      <c r="H25" t="s">
        <v>23</v>
      </c>
      <c r="J25">
        <v>600000</v>
      </c>
    </row>
    <row r="26" spans="1:15" x14ac:dyDescent="0.5">
      <c r="H26" t="s">
        <v>134</v>
      </c>
      <c r="J26">
        <v>113000</v>
      </c>
    </row>
    <row r="27" spans="1:15" x14ac:dyDescent="0.5">
      <c r="H27" t="s">
        <v>168</v>
      </c>
      <c r="J27">
        <v>300000</v>
      </c>
    </row>
    <row r="28" spans="1:15" x14ac:dyDescent="0.5">
      <c r="H28" t="s">
        <v>167</v>
      </c>
      <c r="J28">
        <v>550500</v>
      </c>
    </row>
    <row r="31" spans="1:15" x14ac:dyDescent="0.5">
      <c r="A31" t="s">
        <v>107</v>
      </c>
      <c r="B31">
        <f>A2-E25</f>
        <v>-4870000</v>
      </c>
    </row>
    <row r="32" spans="1:15" x14ac:dyDescent="0.5">
      <c r="A32" t="s">
        <v>108</v>
      </c>
      <c r="B32">
        <f>A2-L2</f>
        <v>-198500</v>
      </c>
    </row>
    <row r="37" spans="1:12" x14ac:dyDescent="0.5">
      <c r="A37" t="s">
        <v>111</v>
      </c>
      <c r="E37" t="s">
        <v>135</v>
      </c>
    </row>
    <row r="38" spans="1:12" x14ac:dyDescent="0.5">
      <c r="A38" t="s">
        <v>112</v>
      </c>
      <c r="B38">
        <f>9*19</f>
        <v>171</v>
      </c>
      <c r="E38" t="s">
        <v>136</v>
      </c>
      <c r="F38">
        <v>304000</v>
      </c>
    </row>
    <row r="39" spans="1:12" x14ac:dyDescent="0.5">
      <c r="A39" t="s">
        <v>113</v>
      </c>
      <c r="B39">
        <f>19*6</f>
        <v>114</v>
      </c>
      <c r="E39" t="s">
        <v>137</v>
      </c>
      <c r="F39">
        <v>276000</v>
      </c>
    </row>
    <row r="40" spans="1:12" x14ac:dyDescent="0.5">
      <c r="A40" t="s">
        <v>114</v>
      </c>
      <c r="B40">
        <f>6*4</f>
        <v>24</v>
      </c>
      <c r="E40" t="s">
        <v>138</v>
      </c>
      <c r="F40">
        <v>268000</v>
      </c>
      <c r="H40" t="s">
        <v>136</v>
      </c>
      <c r="I40">
        <v>304000</v>
      </c>
      <c r="K40" t="s">
        <v>152</v>
      </c>
      <c r="L40">
        <f>3800*40</f>
        <v>152000</v>
      </c>
    </row>
    <row r="41" spans="1:12" x14ac:dyDescent="0.5">
      <c r="A41" t="s">
        <v>115</v>
      </c>
      <c r="B41">
        <f>18*5</f>
        <v>90</v>
      </c>
      <c r="E41" t="s">
        <v>139</v>
      </c>
      <c r="F41">
        <v>780000</v>
      </c>
      <c r="H41" t="s">
        <v>137</v>
      </c>
      <c r="I41">
        <v>276000</v>
      </c>
      <c r="K41" t="s">
        <v>153</v>
      </c>
      <c r="L41">
        <v>30000</v>
      </c>
    </row>
    <row r="42" spans="1:12" x14ac:dyDescent="0.5">
      <c r="A42" t="s">
        <v>116</v>
      </c>
      <c r="B42">
        <f>15*8</f>
        <v>120</v>
      </c>
      <c r="E42" t="s">
        <v>140</v>
      </c>
      <c r="F42">
        <f>76000*5</f>
        <v>380000</v>
      </c>
      <c r="H42" t="s">
        <v>143</v>
      </c>
      <c r="I42">
        <v>120000</v>
      </c>
      <c r="K42" t="s">
        <v>23</v>
      </c>
      <c r="L42">
        <v>500000</v>
      </c>
    </row>
    <row r="43" spans="1:12" x14ac:dyDescent="0.5">
      <c r="A43" t="s">
        <v>117</v>
      </c>
      <c r="B43">
        <f>19*4</f>
        <v>76</v>
      </c>
      <c r="E43" t="s">
        <v>141</v>
      </c>
      <c r="F43">
        <v>7000</v>
      </c>
      <c r="H43" t="s">
        <v>145</v>
      </c>
      <c r="I43">
        <f>30*3800</f>
        <v>114000</v>
      </c>
      <c r="K43" t="s">
        <v>154</v>
      </c>
      <c r="L43">
        <v>500000</v>
      </c>
    </row>
    <row r="44" spans="1:12" x14ac:dyDescent="0.5">
      <c r="A44" t="s">
        <v>118</v>
      </c>
      <c r="B44">
        <v>20</v>
      </c>
      <c r="E44" t="s">
        <v>142</v>
      </c>
      <c r="F44">
        <v>30000</v>
      </c>
      <c r="H44" t="s">
        <v>146</v>
      </c>
      <c r="I44">
        <f>40*3800</f>
        <v>152000</v>
      </c>
    </row>
    <row r="45" spans="1:12" x14ac:dyDescent="0.5">
      <c r="E45" t="s">
        <v>143</v>
      </c>
      <c r="F45">
        <v>120000</v>
      </c>
    </row>
    <row r="46" spans="1:12" x14ac:dyDescent="0.5">
      <c r="E46" t="s">
        <v>144</v>
      </c>
      <c r="F46">
        <v>1300000</v>
      </c>
    </row>
    <row r="47" spans="1:12" x14ac:dyDescent="0.5">
      <c r="H47" t="s">
        <v>147</v>
      </c>
      <c r="I47">
        <f>SUM(I40:I44)</f>
        <v>966000</v>
      </c>
    </row>
    <row r="50" spans="1:14" x14ac:dyDescent="0.5">
      <c r="A50" t="s">
        <v>4</v>
      </c>
      <c r="B50">
        <f>SUM(B38:B48)</f>
        <v>615</v>
      </c>
      <c r="E50" t="s">
        <v>4</v>
      </c>
      <c r="F50">
        <f>SUM(F38:F48)</f>
        <v>3465000</v>
      </c>
    </row>
    <row r="52" spans="1:14" x14ac:dyDescent="0.5">
      <c r="M52" t="s">
        <v>236</v>
      </c>
      <c r="N52">
        <f>2000*655</f>
        <v>1310000</v>
      </c>
    </row>
    <row r="53" spans="1:14" x14ac:dyDescent="0.5">
      <c r="A53" s="14"/>
      <c r="B53" s="14"/>
      <c r="C53" s="14"/>
      <c r="D53" s="14"/>
      <c r="E53" s="14"/>
      <c r="F53" s="14"/>
      <c r="G53" s="14"/>
      <c r="H53" s="14"/>
      <c r="L53" t="s">
        <v>237</v>
      </c>
      <c r="M53">
        <v>200000</v>
      </c>
    </row>
    <row r="54" spans="1:14" x14ac:dyDescent="0.5">
      <c r="A54" s="1"/>
      <c r="B54" s="1"/>
      <c r="C54" s="1" t="s">
        <v>228</v>
      </c>
      <c r="D54" s="1"/>
      <c r="E54" s="1"/>
      <c r="F54" s="1"/>
      <c r="G54" s="1"/>
      <c r="H54" s="1"/>
      <c r="L54" t="s">
        <v>238</v>
      </c>
      <c r="M54">
        <v>200000</v>
      </c>
    </row>
    <row r="55" spans="1:14" x14ac:dyDescent="0.5">
      <c r="B55" t="s">
        <v>233</v>
      </c>
      <c r="C55" t="s">
        <v>234</v>
      </c>
      <c r="M55">
        <v>400000</v>
      </c>
    </row>
    <row r="56" spans="1:14" x14ac:dyDescent="0.5">
      <c r="A56" t="s">
        <v>229</v>
      </c>
      <c r="B56">
        <v>300000</v>
      </c>
      <c r="C56">
        <v>404000</v>
      </c>
      <c r="M56">
        <v>200000</v>
      </c>
    </row>
    <row r="57" spans="1:14" x14ac:dyDescent="0.5">
      <c r="A57" t="s">
        <v>230</v>
      </c>
      <c r="B57">
        <v>400000</v>
      </c>
      <c r="C57">
        <v>370000</v>
      </c>
      <c r="M57">
        <v>310000</v>
      </c>
    </row>
    <row r="58" spans="1:14" x14ac:dyDescent="0.5">
      <c r="A58" t="s">
        <v>231</v>
      </c>
      <c r="B58">
        <v>2200000</v>
      </c>
      <c r="C58">
        <v>675000</v>
      </c>
      <c r="D58">
        <v>120000</v>
      </c>
      <c r="H58">
        <f>400000+350000+500000</f>
        <v>1250000</v>
      </c>
    </row>
    <row r="59" spans="1:14" x14ac:dyDescent="0.5">
      <c r="A59" t="s">
        <v>232</v>
      </c>
      <c r="B59">
        <v>450000</v>
      </c>
    </row>
    <row r="63" spans="1:14" x14ac:dyDescent="0.5">
      <c r="B63">
        <f>SUM(B56:L59)</f>
        <v>6169000</v>
      </c>
    </row>
    <row r="64" spans="1:14" x14ac:dyDescent="0.5">
      <c r="L64" t="s">
        <v>4</v>
      </c>
      <c r="M64">
        <f>SUM(M53:M62)</f>
        <v>1310000</v>
      </c>
    </row>
    <row r="66" spans="1:18" x14ac:dyDescent="0.5">
      <c r="B66" t="s">
        <v>243</v>
      </c>
      <c r="C66" t="s">
        <v>245</v>
      </c>
      <c r="D66" t="s">
        <v>247</v>
      </c>
    </row>
    <row r="67" spans="1:18" x14ac:dyDescent="0.5">
      <c r="A67" s="1" t="s">
        <v>239</v>
      </c>
      <c r="B67" s="1">
        <f>364000+9000+56500</f>
        <v>429500</v>
      </c>
      <c r="C67" s="1">
        <f>364000+9000+56500</f>
        <v>429500</v>
      </c>
    </row>
    <row r="68" spans="1:18" x14ac:dyDescent="0.5">
      <c r="A68" s="1" t="s">
        <v>240</v>
      </c>
      <c r="B68" s="1">
        <v>396250</v>
      </c>
      <c r="C68" s="1">
        <v>396250</v>
      </c>
    </row>
    <row r="69" spans="1:18" x14ac:dyDescent="0.5">
      <c r="A69" s="1" t="s">
        <v>241</v>
      </c>
      <c r="B69" s="1">
        <v>350000</v>
      </c>
      <c r="C69" s="1">
        <v>350000</v>
      </c>
    </row>
    <row r="70" spans="1:18" x14ac:dyDescent="0.5">
      <c r="A70" s="1" t="s">
        <v>242</v>
      </c>
      <c r="B70" s="1">
        <v>400000</v>
      </c>
      <c r="C70" s="1">
        <v>400000</v>
      </c>
    </row>
    <row r="71" spans="1:18" x14ac:dyDescent="0.5">
      <c r="A71" s="1" t="s">
        <v>244</v>
      </c>
      <c r="B71" s="1">
        <v>260000</v>
      </c>
      <c r="C71" s="1">
        <v>260000</v>
      </c>
      <c r="K71" t="s">
        <v>277</v>
      </c>
      <c r="N71" t="s">
        <v>278</v>
      </c>
      <c r="Q71" t="s">
        <v>281</v>
      </c>
    </row>
    <row r="72" spans="1:18" x14ac:dyDescent="0.5">
      <c r="A72" s="1" t="s">
        <v>248</v>
      </c>
      <c r="B72" s="1">
        <v>200000</v>
      </c>
      <c r="C72" s="1">
        <v>200000</v>
      </c>
      <c r="K72" t="s">
        <v>269</v>
      </c>
      <c r="L72">
        <f>3.4*3.9</f>
        <v>13.26</v>
      </c>
      <c r="N72" t="s">
        <v>279</v>
      </c>
      <c r="O72">
        <f>1.66*1.66</f>
        <v>2.7555999999999998</v>
      </c>
      <c r="Q72" t="s">
        <v>282</v>
      </c>
      <c r="R72">
        <f>(1.6*3)*4</f>
        <v>19.200000000000003</v>
      </c>
    </row>
    <row r="73" spans="1:18" x14ac:dyDescent="0.5">
      <c r="A73" s="1" t="s">
        <v>246</v>
      </c>
      <c r="B73" s="1">
        <f>450000+140000</f>
        <v>590000</v>
      </c>
      <c r="C73" s="1">
        <f>250000+60000+230000+50000</f>
        <v>590000</v>
      </c>
      <c r="K73" t="s">
        <v>270</v>
      </c>
      <c r="L73">
        <f>3.4*3.9</f>
        <v>13.26</v>
      </c>
      <c r="N73" t="s">
        <v>280</v>
      </c>
      <c r="O73">
        <f>1.66*1.8</f>
        <v>2.988</v>
      </c>
      <c r="Q73" t="s">
        <v>283</v>
      </c>
      <c r="R73">
        <f>(1.6*3)*2+(1.8*3)*2</f>
        <v>20.400000000000002</v>
      </c>
    </row>
    <row r="74" spans="1:18" x14ac:dyDescent="0.5">
      <c r="A74" s="1" t="s">
        <v>254</v>
      </c>
      <c r="B74" s="1">
        <v>2100000</v>
      </c>
      <c r="C74" s="1">
        <f>500000+200000+300000+200000+100000+250000+150000+300000</f>
        <v>2000000</v>
      </c>
      <c r="H74" t="s">
        <v>273</v>
      </c>
      <c r="I74">
        <f>3*5</f>
        <v>15</v>
      </c>
      <c r="K74" t="s">
        <v>271</v>
      </c>
      <c r="L74">
        <f>5.56*3.9</f>
        <v>21.683999999999997</v>
      </c>
      <c r="Q74" t="s">
        <v>284</v>
      </c>
      <c r="R74">
        <f>(1.4*3)+(3.9*3)*2</f>
        <v>27.599999999999998</v>
      </c>
    </row>
    <row r="75" spans="1:18" x14ac:dyDescent="0.5">
      <c r="A75" s="1" t="s">
        <v>255</v>
      </c>
      <c r="B75" s="1">
        <f>675000+120000</f>
        <v>795000</v>
      </c>
      <c r="C75" s="1">
        <f>73000+73000+73000+73000+73000+88000</f>
        <v>453000</v>
      </c>
      <c r="H75" t="s">
        <v>274</v>
      </c>
      <c r="I75">
        <f>0.95*4.1</f>
        <v>3.8949999999999996</v>
      </c>
      <c r="K75" t="s">
        <v>272</v>
      </c>
      <c r="L75">
        <f>1.4*16</f>
        <v>22.4</v>
      </c>
      <c r="Q75" t="s">
        <v>275</v>
      </c>
    </row>
    <row r="76" spans="1:18" x14ac:dyDescent="0.5">
      <c r="A76" s="1" t="s">
        <v>264</v>
      </c>
      <c r="B76" s="1">
        <v>675000</v>
      </c>
      <c r="C76" s="1">
        <f>300000+150000+125000+100000</f>
        <v>675000</v>
      </c>
      <c r="K76" t="s">
        <v>275</v>
      </c>
      <c r="L76">
        <v>6</v>
      </c>
      <c r="N76" t="s">
        <v>117</v>
      </c>
      <c r="O76">
        <v>6</v>
      </c>
      <c r="Q76" t="s">
        <v>276</v>
      </c>
    </row>
    <row r="77" spans="1:18" x14ac:dyDescent="0.5">
      <c r="A77" s="1" t="s">
        <v>263</v>
      </c>
      <c r="B77" s="1">
        <v>650000</v>
      </c>
      <c r="C77" s="1">
        <f>300000+201000+150000</f>
        <v>651000</v>
      </c>
      <c r="K77" t="s">
        <v>276</v>
      </c>
      <c r="L77">
        <v>8</v>
      </c>
    </row>
    <row r="78" spans="1:18" x14ac:dyDescent="0.5">
      <c r="A78" s="1" t="s">
        <v>266</v>
      </c>
      <c r="B78" s="1">
        <v>1500000</v>
      </c>
      <c r="C78" s="1">
        <f>500000+500000+300000+300000</f>
        <v>1600000</v>
      </c>
      <c r="E78">
        <f>45*6750</f>
        <v>303750</v>
      </c>
    </row>
    <row r="79" spans="1:18" x14ac:dyDescent="0.5">
      <c r="A79" s="1" t="s">
        <v>267</v>
      </c>
      <c r="B79" s="1">
        <v>450000</v>
      </c>
      <c r="C79" s="1">
        <f>250000+200000</f>
        <v>450000</v>
      </c>
      <c r="D79">
        <f>30000+50000+150000+30000+50000+50000</f>
        <v>360000</v>
      </c>
      <c r="E79" t="s">
        <v>293</v>
      </c>
      <c r="H79" t="s">
        <v>288</v>
      </c>
      <c r="I79">
        <v>10</v>
      </c>
    </row>
    <row r="80" spans="1:18" x14ac:dyDescent="0.5">
      <c r="A80" s="1" t="s">
        <v>268</v>
      </c>
      <c r="B80" s="1">
        <v>155000</v>
      </c>
      <c r="C80" s="1">
        <f>155000</f>
        <v>155000</v>
      </c>
      <c r="H80" t="s">
        <v>286</v>
      </c>
      <c r="I80">
        <v>17</v>
      </c>
    </row>
    <row r="81" spans="1:18" x14ac:dyDescent="0.5">
      <c r="A81" s="1" t="s">
        <v>289</v>
      </c>
      <c r="B81" s="1">
        <v>480000</v>
      </c>
      <c r="C81" s="1">
        <f>280000+100000+110000</f>
        <v>490000</v>
      </c>
    </row>
    <row r="82" spans="1:18" x14ac:dyDescent="0.5">
      <c r="A82" s="1" t="s">
        <v>287</v>
      </c>
      <c r="B82" s="1">
        <v>292000</v>
      </c>
      <c r="C82" s="1">
        <f>292000</f>
        <v>292000</v>
      </c>
    </row>
    <row r="83" spans="1:18" x14ac:dyDescent="0.5">
      <c r="A83" t="s">
        <v>290</v>
      </c>
      <c r="B83">
        <v>200000</v>
      </c>
      <c r="C83">
        <f>50000+50000</f>
        <v>100000</v>
      </c>
    </row>
    <row r="84" spans="1:18" x14ac:dyDescent="0.5">
      <c r="A84" s="1" t="s">
        <v>296</v>
      </c>
      <c r="B84" s="1">
        <v>580000</v>
      </c>
      <c r="C84" s="1">
        <v>580000</v>
      </c>
    </row>
    <row r="85" spans="1:18" x14ac:dyDescent="0.5">
      <c r="A85" s="1" t="s">
        <v>110</v>
      </c>
      <c r="B85" s="1">
        <v>500000</v>
      </c>
      <c r="C85" s="1">
        <v>500000</v>
      </c>
    </row>
    <row r="86" spans="1:18" x14ac:dyDescent="0.5">
      <c r="A86" s="1" t="s">
        <v>302</v>
      </c>
      <c r="B86" s="1">
        <v>200000</v>
      </c>
      <c r="C86" s="1">
        <v>200000</v>
      </c>
    </row>
    <row r="87" spans="1:18" x14ac:dyDescent="0.5">
      <c r="A87" s="1" t="s">
        <v>300</v>
      </c>
      <c r="B87" s="1">
        <v>250000</v>
      </c>
      <c r="C87" s="1">
        <v>250000</v>
      </c>
    </row>
    <row r="88" spans="1:18" x14ac:dyDescent="0.5">
      <c r="A88" s="1" t="s">
        <v>301</v>
      </c>
      <c r="B88" s="1">
        <v>100000</v>
      </c>
      <c r="C88" s="1">
        <v>100000</v>
      </c>
    </row>
    <row r="89" spans="1:18" x14ac:dyDescent="0.5">
      <c r="A89" s="1" t="s">
        <v>305</v>
      </c>
      <c r="B89" s="1">
        <v>360000</v>
      </c>
      <c r="C89" s="1">
        <v>360000</v>
      </c>
    </row>
    <row r="90" spans="1:18" x14ac:dyDescent="0.5">
      <c r="A90" s="1" t="s">
        <v>295</v>
      </c>
      <c r="B90" s="1">
        <v>350000</v>
      </c>
      <c r="C90" s="1">
        <v>350000</v>
      </c>
    </row>
    <row r="91" spans="1:18" x14ac:dyDescent="0.5">
      <c r="A91" s="1" t="s">
        <v>265</v>
      </c>
      <c r="B91" s="1">
        <v>200000</v>
      </c>
      <c r="C91" s="1">
        <f>200000</f>
        <v>200000</v>
      </c>
    </row>
    <row r="93" spans="1:18" x14ac:dyDescent="0.5">
      <c r="A93" t="s">
        <v>4</v>
      </c>
      <c r="B93">
        <f>SUM(B67:B91)</f>
        <v>12462750</v>
      </c>
      <c r="C93">
        <f>SUM(C67:C91)+D79</f>
        <v>12391750</v>
      </c>
    </row>
    <row r="94" spans="1:18" x14ac:dyDescent="0.5">
      <c r="A94" t="s">
        <v>253</v>
      </c>
      <c r="B94">
        <f>B93/655</f>
        <v>19027.099236641221</v>
      </c>
      <c r="C94">
        <f>C93/655</f>
        <v>18918.702290076337</v>
      </c>
    </row>
    <row r="95" spans="1:18" x14ac:dyDescent="0.5">
      <c r="H95" t="s">
        <v>285</v>
      </c>
      <c r="I95">
        <f>SUM(I74:I80)</f>
        <v>45.894999999999996</v>
      </c>
      <c r="K95" t="s">
        <v>4</v>
      </c>
      <c r="L95">
        <f>SUM(L72:L94)</f>
        <v>84.603999999999985</v>
      </c>
      <c r="N95" t="s">
        <v>4</v>
      </c>
      <c r="O95">
        <f t="shared" ref="O95" si="0">SUM(O72:O94)</f>
        <v>11.743600000000001</v>
      </c>
      <c r="Q95" t="s">
        <v>35</v>
      </c>
      <c r="R95">
        <f t="shared" ref="R95" si="1">SUM(R72:R94)</f>
        <v>67.2</v>
      </c>
    </row>
    <row r="96" spans="1:18" x14ac:dyDescent="0.5">
      <c r="L96">
        <v>130</v>
      </c>
      <c r="O96">
        <v>6</v>
      </c>
      <c r="R96">
        <v>67</v>
      </c>
    </row>
    <row r="97" spans="1:18" x14ac:dyDescent="0.5">
      <c r="A97" t="s">
        <v>249</v>
      </c>
      <c r="B97">
        <f>2000+4000+3000+800+553+1950+4000+1000+1300</f>
        <v>18603</v>
      </c>
      <c r="C97" t="s">
        <v>81</v>
      </c>
      <c r="D97" t="s">
        <v>87</v>
      </c>
      <c r="E97" t="s">
        <v>292</v>
      </c>
      <c r="F97" t="s">
        <v>69</v>
      </c>
      <c r="G97" t="s">
        <v>291</v>
      </c>
      <c r="H97" t="s">
        <v>294</v>
      </c>
    </row>
    <row r="99" spans="1:18" x14ac:dyDescent="0.5">
      <c r="A99" t="s">
        <v>21</v>
      </c>
      <c r="B99">
        <f>B97-C94</f>
        <v>-315.70229007633679</v>
      </c>
      <c r="L99">
        <f>L96*7000</f>
        <v>910000</v>
      </c>
      <c r="O99">
        <f>O96*5000</f>
        <v>30000</v>
      </c>
      <c r="R99">
        <f>R96*5500</f>
        <v>368500</v>
      </c>
    </row>
    <row r="103" spans="1:18" x14ac:dyDescent="0.5">
      <c r="K103" t="s">
        <v>35</v>
      </c>
      <c r="M103">
        <f>I99+L99+O99+R99</f>
        <v>1308500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D250C-39B2-4E80-98CE-CD0726DE900E}">
  <sheetPr codeName="Feuil23"/>
  <dimension ref="A3:G22"/>
  <sheetViews>
    <sheetView workbookViewId="0">
      <selection activeCell="D20" sqref="D20"/>
    </sheetView>
  </sheetViews>
  <sheetFormatPr baseColWidth="10" defaultRowHeight="15.75" x14ac:dyDescent="0.5"/>
  <cols>
    <col min="1" max="1" width="30.125" bestFit="1" customWidth="1"/>
    <col min="2" max="2" width="18.875" bestFit="1" customWidth="1"/>
  </cols>
  <sheetData>
    <row r="3" spans="1:7" x14ac:dyDescent="0.5">
      <c r="A3" s="1" t="s">
        <v>175</v>
      </c>
      <c r="B3" s="1"/>
      <c r="C3" s="1"/>
      <c r="D3" s="1"/>
      <c r="E3" s="1"/>
    </row>
    <row r="4" spans="1:7" x14ac:dyDescent="0.5">
      <c r="A4" s="1"/>
      <c r="B4" s="1"/>
      <c r="C4" s="1" t="s">
        <v>176</v>
      </c>
      <c r="D4" s="1"/>
      <c r="E4" s="1" t="s">
        <v>177</v>
      </c>
    </row>
    <row r="5" spans="1:7" x14ac:dyDescent="0.5">
      <c r="A5" s="1"/>
      <c r="B5" s="1" t="s">
        <v>171</v>
      </c>
      <c r="C5" s="1">
        <f>75000*6</f>
        <v>450000</v>
      </c>
      <c r="D5" s="1"/>
      <c r="E5" s="1">
        <v>450000</v>
      </c>
    </row>
    <row r="6" spans="1:7" x14ac:dyDescent="0.5">
      <c r="A6" s="1"/>
      <c r="B6" s="1" t="s">
        <v>172</v>
      </c>
      <c r="C6" s="1">
        <v>432000</v>
      </c>
      <c r="D6" s="1"/>
      <c r="E6" s="1">
        <v>450000</v>
      </c>
    </row>
    <row r="7" spans="1:7" x14ac:dyDescent="0.5">
      <c r="A7" s="1"/>
      <c r="B7" s="1" t="s">
        <v>184</v>
      </c>
      <c r="C7" s="1"/>
      <c r="D7" s="1"/>
      <c r="E7" s="1">
        <v>60000</v>
      </c>
    </row>
    <row r="8" spans="1:7" x14ac:dyDescent="0.5">
      <c r="A8" s="1"/>
      <c r="B8" s="1" t="s">
        <v>173</v>
      </c>
      <c r="C8" s="1">
        <v>60000</v>
      </c>
      <c r="D8" s="1"/>
      <c r="E8" s="1">
        <v>60000</v>
      </c>
    </row>
    <row r="9" spans="1:7" x14ac:dyDescent="0.5">
      <c r="A9" s="1"/>
      <c r="B9" s="1" t="s">
        <v>174</v>
      </c>
      <c r="C9" s="1">
        <v>180000</v>
      </c>
      <c r="D9" s="1"/>
      <c r="E9" s="1">
        <v>180000</v>
      </c>
    </row>
    <row r="10" spans="1:7" x14ac:dyDescent="0.5">
      <c r="A10" s="1"/>
      <c r="B10" s="1"/>
      <c r="C10" s="1"/>
      <c r="D10" s="1"/>
      <c r="E10" s="1"/>
    </row>
    <row r="11" spans="1:7" x14ac:dyDescent="0.5">
      <c r="A11" s="1"/>
      <c r="B11" s="1" t="s">
        <v>147</v>
      </c>
      <c r="C11" s="1">
        <f>SUM(C5:C9)</f>
        <v>1122000</v>
      </c>
      <c r="D11" s="1"/>
      <c r="E11" s="1">
        <f>SUM(E5:E10)</f>
        <v>1200000</v>
      </c>
      <c r="G11">
        <f>E11/655</f>
        <v>1832.0610687022902</v>
      </c>
    </row>
    <row r="14" spans="1:7" x14ac:dyDescent="0.5">
      <c r="A14" t="s">
        <v>178</v>
      </c>
      <c r="B14" t="s">
        <v>179</v>
      </c>
      <c r="C14">
        <v>2000000</v>
      </c>
      <c r="E14" s="1">
        <v>500000</v>
      </c>
    </row>
    <row r="15" spans="1:7" x14ac:dyDescent="0.5">
      <c r="B15" t="s">
        <v>183</v>
      </c>
      <c r="C15">
        <v>600000</v>
      </c>
      <c r="E15" s="1">
        <v>600000</v>
      </c>
    </row>
    <row r="16" spans="1:7" x14ac:dyDescent="0.5">
      <c r="B16" t="s">
        <v>180</v>
      </c>
      <c r="C16">
        <v>45000</v>
      </c>
      <c r="E16" s="1">
        <v>45000</v>
      </c>
    </row>
    <row r="17" spans="2:7" x14ac:dyDescent="0.5">
      <c r="B17" t="s">
        <v>181</v>
      </c>
      <c r="C17">
        <v>150000</v>
      </c>
      <c r="E17" s="1">
        <v>150000</v>
      </c>
    </row>
    <row r="18" spans="2:7" x14ac:dyDescent="0.5">
      <c r="B18" t="s">
        <v>185</v>
      </c>
      <c r="E18" s="1">
        <v>32000</v>
      </c>
    </row>
    <row r="19" spans="2:7" x14ac:dyDescent="0.5">
      <c r="B19" t="s">
        <v>186</v>
      </c>
      <c r="D19" t="s">
        <v>110</v>
      </c>
      <c r="E19" s="1">
        <v>1390000</v>
      </c>
    </row>
    <row r="20" spans="2:7" x14ac:dyDescent="0.5">
      <c r="B20" t="s">
        <v>182</v>
      </c>
      <c r="C20">
        <v>14000</v>
      </c>
      <c r="E20" s="1">
        <v>14000</v>
      </c>
    </row>
    <row r="21" spans="2:7" x14ac:dyDescent="0.5">
      <c r="B21" t="s">
        <v>179</v>
      </c>
      <c r="D21" t="s">
        <v>110</v>
      </c>
      <c r="E21" s="1">
        <v>500000</v>
      </c>
    </row>
    <row r="22" spans="2:7" x14ac:dyDescent="0.5">
      <c r="C22">
        <f>SUM(C14:C20)</f>
        <v>2809000</v>
      </c>
      <c r="D22">
        <f>SUM(D14:D20)</f>
        <v>0</v>
      </c>
      <c r="E22" s="1">
        <f>SUM(E14:E21)</f>
        <v>3231000</v>
      </c>
      <c r="G22">
        <f>E22/655</f>
        <v>4932.8244274809158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44F7-AFBE-4C6B-AF7F-6A7B39EB63FD}">
  <sheetPr codeName="Feuil24"/>
  <dimension ref="A2:P29"/>
  <sheetViews>
    <sheetView topLeftCell="A4" workbookViewId="0">
      <selection activeCell="B20" sqref="B20"/>
    </sheetView>
  </sheetViews>
  <sheetFormatPr baseColWidth="10" defaultRowHeight="15.75" x14ac:dyDescent="0.5"/>
  <cols>
    <col min="4" max="4" width="11.375" bestFit="1" customWidth="1"/>
    <col min="12" max="12" width="13.125" bestFit="1" customWidth="1"/>
    <col min="15" max="15" width="15.125" bestFit="1" customWidth="1"/>
  </cols>
  <sheetData>
    <row r="2" spans="1:16" x14ac:dyDescent="0.5">
      <c r="L2" t="s">
        <v>36</v>
      </c>
      <c r="O2" t="s">
        <v>42</v>
      </c>
    </row>
    <row r="4" spans="1:16" x14ac:dyDescent="0.5">
      <c r="A4" t="s">
        <v>29</v>
      </c>
      <c r="B4">
        <v>15000</v>
      </c>
      <c r="D4" t="s">
        <v>7</v>
      </c>
      <c r="E4">
        <v>5000</v>
      </c>
      <c r="H4" t="s">
        <v>4</v>
      </c>
      <c r="I4">
        <f>B4+E4</f>
        <v>20000</v>
      </c>
      <c r="L4" t="s">
        <v>37</v>
      </c>
      <c r="M4">
        <v>3102</v>
      </c>
      <c r="O4" t="s">
        <v>43</v>
      </c>
      <c r="P4">
        <v>50</v>
      </c>
    </row>
    <row r="5" spans="1:16" x14ac:dyDescent="0.5">
      <c r="L5" t="s">
        <v>37</v>
      </c>
      <c r="M5">
        <v>3057</v>
      </c>
      <c r="O5" t="s">
        <v>44</v>
      </c>
      <c r="P5">
        <v>200</v>
      </c>
    </row>
    <row r="6" spans="1:16" x14ac:dyDescent="0.5">
      <c r="A6" t="s">
        <v>39</v>
      </c>
      <c r="B6">
        <v>2300</v>
      </c>
      <c r="L6" t="s">
        <v>40</v>
      </c>
      <c r="M6">
        <v>1525</v>
      </c>
    </row>
    <row r="7" spans="1:16" x14ac:dyDescent="0.5">
      <c r="A7" t="s">
        <v>30</v>
      </c>
      <c r="B7">
        <v>4600</v>
      </c>
      <c r="D7" t="s">
        <v>32</v>
      </c>
      <c r="E7">
        <v>4500</v>
      </c>
      <c r="L7" t="s">
        <v>37</v>
      </c>
      <c r="M7">
        <v>3834</v>
      </c>
    </row>
    <row r="8" spans="1:16" x14ac:dyDescent="0.5">
      <c r="A8" t="s">
        <v>38</v>
      </c>
      <c r="B8">
        <v>2260</v>
      </c>
      <c r="L8" t="s">
        <v>41</v>
      </c>
      <c r="M8">
        <v>2310</v>
      </c>
    </row>
    <row r="9" spans="1:16" x14ac:dyDescent="0.5">
      <c r="A9" t="s">
        <v>31</v>
      </c>
      <c r="D9" t="s">
        <v>21</v>
      </c>
      <c r="E9">
        <f>E4-E7</f>
        <v>500</v>
      </c>
      <c r="M9">
        <v>50</v>
      </c>
    </row>
    <row r="10" spans="1:16" x14ac:dyDescent="0.5">
      <c r="L10" t="s">
        <v>45</v>
      </c>
      <c r="M10">
        <v>100</v>
      </c>
    </row>
    <row r="13" spans="1:16" x14ac:dyDescent="0.5">
      <c r="G13" t="s">
        <v>34</v>
      </c>
    </row>
    <row r="14" spans="1:16" x14ac:dyDescent="0.5">
      <c r="A14" t="s">
        <v>33</v>
      </c>
      <c r="C14">
        <f>B9+E9</f>
        <v>500</v>
      </c>
    </row>
    <row r="19" spans="1:13" x14ac:dyDescent="0.5">
      <c r="A19" t="s">
        <v>29</v>
      </c>
      <c r="B19">
        <v>10000</v>
      </c>
      <c r="D19" t="s">
        <v>7</v>
      </c>
      <c r="E19">
        <v>5000</v>
      </c>
      <c r="H19" t="s">
        <v>4</v>
      </c>
      <c r="I19">
        <f>B19+E19</f>
        <v>15000</v>
      </c>
      <c r="L19" t="s">
        <v>35</v>
      </c>
      <c r="M19">
        <f>SUM(M4:M14)</f>
        <v>13978</v>
      </c>
    </row>
    <row r="22" spans="1:13" x14ac:dyDescent="0.5">
      <c r="A22" t="s">
        <v>30</v>
      </c>
      <c r="B22">
        <v>7640</v>
      </c>
      <c r="D22" t="s">
        <v>32</v>
      </c>
      <c r="E22">
        <v>3820</v>
      </c>
    </row>
    <row r="24" spans="1:13" x14ac:dyDescent="0.5">
      <c r="A24" t="s">
        <v>31</v>
      </c>
      <c r="B24">
        <f>B19-B22</f>
        <v>2360</v>
      </c>
      <c r="D24" t="s">
        <v>21</v>
      </c>
      <c r="E24">
        <f>E19-E22</f>
        <v>1180</v>
      </c>
      <c r="L24" t="s">
        <v>21</v>
      </c>
      <c r="M24">
        <f>I4-M19</f>
        <v>6022</v>
      </c>
    </row>
    <row r="28" spans="1:13" x14ac:dyDescent="0.5">
      <c r="G28" t="s">
        <v>34</v>
      </c>
    </row>
    <row r="29" spans="1:13" x14ac:dyDescent="0.5">
      <c r="A29" t="s">
        <v>33</v>
      </c>
      <c r="C29">
        <f>B24+E24</f>
        <v>3540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27</vt:i4>
      </vt:variant>
    </vt:vector>
  </HeadingPairs>
  <TitlesOfParts>
    <vt:vector size="27" baseType="lpstr">
      <vt:lpstr>Sept23</vt:lpstr>
      <vt:lpstr>Octb23</vt:lpstr>
      <vt:lpstr>Nov2023</vt:lpstr>
      <vt:lpstr>Dec2023</vt:lpstr>
      <vt:lpstr>JAN24</vt:lpstr>
      <vt:lpstr>FEV24</vt:lpstr>
      <vt:lpstr>MARS24</vt:lpstr>
      <vt:lpstr>AVRIL24</vt:lpstr>
      <vt:lpstr>AOUT24</vt:lpstr>
      <vt:lpstr>SEP24</vt:lpstr>
      <vt:lpstr>OCT24</vt:lpstr>
      <vt:lpstr>NOV24</vt:lpstr>
      <vt:lpstr>DEC24</vt:lpstr>
      <vt:lpstr>JANV25</vt:lpstr>
      <vt:lpstr>FEVR25</vt:lpstr>
      <vt:lpstr>Mars25</vt:lpstr>
      <vt:lpstr>Avril25</vt:lpstr>
      <vt:lpstr>Mai25</vt:lpstr>
      <vt:lpstr>JUIN125</vt:lpstr>
      <vt:lpstr>Juin25</vt:lpstr>
      <vt:lpstr>Juillet25</vt:lpstr>
      <vt:lpstr>AOUT25</vt:lpstr>
      <vt:lpstr>Credit</vt:lpstr>
      <vt:lpstr>Entreprise</vt:lpstr>
      <vt:lpstr>Construction </vt:lpstr>
      <vt:lpstr>Construction2</vt:lpstr>
      <vt:lpstr>Terrain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Abdoulaye GUEYE</cp:lastModifiedBy>
  <dcterms:created xsi:type="dcterms:W3CDTF">2021-01-21T15:51:03Z</dcterms:created>
  <dcterms:modified xsi:type="dcterms:W3CDTF">2025-08-28T21:09:45Z</dcterms:modified>
</cp:coreProperties>
</file>