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C8A92632-7B88-4828-98CD-E9BFC35617A3}" xr6:coauthVersionLast="47" xr6:coauthVersionMax="47" xr10:uidLastSave="{00000000-0000-0000-0000-000000000000}"/>
  <bookViews>
    <workbookView xWindow="-120" yWindow="-120" windowWidth="29040" windowHeight="15720" firstSheet="12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Credit" sheetId="28" r:id="rId21"/>
    <sheet name="Entreprise" sheetId="35" r:id="rId22"/>
    <sheet name="Construction " sheetId="27" r:id="rId23"/>
    <sheet name="Construction2" sheetId="39" r:id="rId24"/>
    <sheet name="Terrain" sheetId="18" r:id="rId25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7" i="27" l="1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R95" i="27" l="1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</calcChain>
</file>

<file path=xl/sharedStrings.xml><?xml version="1.0" encoding="utf-8"?>
<sst xmlns="http://schemas.openxmlformats.org/spreadsheetml/2006/main" count="1472" uniqueCount="306">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</sst>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workbookViewId="0">
      <selection activeCell="B33" sqref="B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57</v>
      </c>
      <c r="B1" t="s">
        <v>7</v>
      </c>
    </row>
    <row r="2" spans="1:15" x14ac:dyDescent="0.25">
      <c r="A2">
        <v>11500</v>
      </c>
      <c r="B2">
        <v>10000</v>
      </c>
      <c r="G2" t="s">
        <v>64</v>
      </c>
    </row>
    <row r="3" spans="1:15" x14ac:dyDescent="0.25">
      <c r="G3" t="s">
        <v>65</v>
      </c>
      <c r="H3">
        <v>3000</v>
      </c>
    </row>
    <row r="4" spans="1:15" x14ac:dyDescent="0.25">
      <c r="G4" t="s">
        <v>66</v>
      </c>
      <c r="H4">
        <v>4000</v>
      </c>
    </row>
    <row r="5" spans="1:15" x14ac:dyDescent="0.25">
      <c r="G5" t="s">
        <v>67</v>
      </c>
      <c r="H5">
        <v>3000</v>
      </c>
      <c r="J5">
        <v>1500</v>
      </c>
    </row>
    <row r="6" spans="1:15" x14ac:dyDescent="0.2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2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2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2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2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2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25">
      <c r="J12">
        <v>300</v>
      </c>
      <c r="L12" t="s">
        <v>259</v>
      </c>
      <c r="M12">
        <v>500</v>
      </c>
    </row>
    <row r="13" spans="1:15" x14ac:dyDescent="0.25">
      <c r="L13" t="s">
        <v>68</v>
      </c>
      <c r="M13">
        <v>500</v>
      </c>
    </row>
    <row r="14" spans="1:15" x14ac:dyDescent="0.25">
      <c r="J14">
        <f>SUM(J5:J12)</f>
        <v>5116</v>
      </c>
      <c r="L14" t="s">
        <v>90</v>
      </c>
    </row>
    <row r="15" spans="1:15" x14ac:dyDescent="0.25">
      <c r="L15" t="s">
        <v>67</v>
      </c>
    </row>
    <row r="16" spans="1:15" x14ac:dyDescent="0.25">
      <c r="I16" t="s">
        <v>21</v>
      </c>
      <c r="J16">
        <f>J14-M22</f>
        <v>1616</v>
      </c>
      <c r="L16" t="s">
        <v>298</v>
      </c>
    </row>
    <row r="17" spans="1:15" x14ac:dyDescent="0.25">
      <c r="O17" t="s">
        <v>70</v>
      </c>
    </row>
    <row r="19" spans="1:15" x14ac:dyDescent="0.25">
      <c r="F19" t="s">
        <v>4</v>
      </c>
      <c r="H19">
        <f>SUM(H3:H17)</f>
        <v>32000</v>
      </c>
    </row>
    <row r="20" spans="1:15" x14ac:dyDescent="0.25">
      <c r="A20" t="s">
        <v>21</v>
      </c>
      <c r="B20">
        <f>B6-F41</f>
        <v>16600</v>
      </c>
    </row>
    <row r="22" spans="1:15" x14ac:dyDescent="0.25">
      <c r="M22">
        <f>SUM(M7:M20)</f>
        <v>3500</v>
      </c>
    </row>
    <row r="24" spans="1:15" x14ac:dyDescent="0.25">
      <c r="A24" s="9" t="s">
        <v>73</v>
      </c>
      <c r="B24" s="9"/>
      <c r="C24" s="9"/>
      <c r="D24" s="9"/>
      <c r="E24" s="9"/>
      <c r="F24" s="9"/>
    </row>
    <row r="25" spans="1:15" x14ac:dyDescent="0.25">
      <c r="A25" s="9"/>
      <c r="B25" s="9"/>
      <c r="C25" s="9"/>
      <c r="D25" s="9"/>
      <c r="E25" s="9"/>
      <c r="F25" s="9"/>
    </row>
    <row r="26" spans="1:15" x14ac:dyDescent="0.2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25">
      <c r="A27" s="9" t="s">
        <v>81</v>
      </c>
      <c r="B27" s="9">
        <v>500</v>
      </c>
      <c r="C27" s="9"/>
      <c r="D27" s="9"/>
      <c r="E27" s="9"/>
      <c r="F27" s="9"/>
    </row>
    <row r="28" spans="1:15" x14ac:dyDescent="0.25">
      <c r="A28" s="9" t="s">
        <v>87</v>
      </c>
      <c r="B28" s="9"/>
      <c r="C28" s="9">
        <v>1000</v>
      </c>
      <c r="D28" s="9"/>
      <c r="E28" s="9"/>
      <c r="F28" s="9"/>
    </row>
    <row r="29" spans="1:15" x14ac:dyDescent="0.25">
      <c r="A29" s="9" t="s">
        <v>88</v>
      </c>
      <c r="B29" s="9">
        <v>500</v>
      </c>
      <c r="C29" s="9"/>
      <c r="D29" s="9"/>
      <c r="E29" s="9"/>
      <c r="F29" s="9"/>
    </row>
    <row r="30" spans="1:15" x14ac:dyDescent="0.25">
      <c r="A30" s="9" t="s">
        <v>69</v>
      </c>
      <c r="B30" s="9"/>
      <c r="C30" s="9">
        <v>1000</v>
      </c>
      <c r="D30" s="9"/>
      <c r="E30" s="9"/>
      <c r="F30" s="9"/>
    </row>
    <row r="31" spans="1:15" x14ac:dyDescent="0.25">
      <c r="A31" s="9" t="s">
        <v>89</v>
      </c>
      <c r="B31" s="9">
        <v>500</v>
      </c>
      <c r="C31" s="9"/>
      <c r="D31" s="9"/>
      <c r="E31" s="9"/>
      <c r="F31" s="9"/>
    </row>
    <row r="32" spans="1:15" x14ac:dyDescent="0.2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25">
      <c r="A33" s="9" t="s">
        <v>90</v>
      </c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10" t="s">
        <v>4</v>
      </c>
      <c r="B41" s="10">
        <f>SUM(B27:B39)</f>
        <v>1900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4900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19" workbookViewId="0">
      <selection activeCell="C35" sqref="C35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2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2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2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2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2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2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2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2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2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2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2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2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2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25">
      <c r="A28" t="s">
        <v>132</v>
      </c>
      <c r="B28" t="s">
        <v>193</v>
      </c>
      <c r="C28" s="1">
        <v>8150</v>
      </c>
      <c r="D28" s="1">
        <f>C28+(C28*20%)</f>
        <v>9780</v>
      </c>
      <c r="E28" s="1">
        <f>C28*21%</f>
        <v>1711.5</v>
      </c>
      <c r="F28" s="1">
        <f>C28-E28</f>
        <v>6438.5</v>
      </c>
      <c r="G28" s="1">
        <f>D28-C28</f>
        <v>1630</v>
      </c>
    </row>
    <row r="30" spans="1:9" x14ac:dyDescent="0.25">
      <c r="A30" t="s">
        <v>194</v>
      </c>
      <c r="C30">
        <f>C27+C28</f>
        <v>8150</v>
      </c>
      <c r="D30">
        <f>D27+D28</f>
        <v>9780</v>
      </c>
      <c r="E30" s="1">
        <f>E27+E28</f>
        <v>1711.5</v>
      </c>
      <c r="F30" s="11">
        <f>F27+F28</f>
        <v>6438.5</v>
      </c>
      <c r="G30" s="1">
        <f>G27+G28</f>
        <v>1630</v>
      </c>
    </row>
    <row r="33" spans="1:7" x14ac:dyDescent="0.2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25">
      <c r="A34" t="s">
        <v>132</v>
      </c>
      <c r="B34" t="s">
        <v>193</v>
      </c>
      <c r="C34" s="1">
        <v>4250</v>
      </c>
      <c r="D34" s="1">
        <f>C34+(C34*20%)</f>
        <v>5100</v>
      </c>
      <c r="E34" s="1">
        <f>C34*26%</f>
        <v>1105</v>
      </c>
      <c r="F34" s="1">
        <f>C34-E34</f>
        <v>3145</v>
      </c>
      <c r="G34" s="1">
        <f>D34-C34</f>
        <v>850</v>
      </c>
    </row>
    <row r="36" spans="1:7" x14ac:dyDescent="0.25">
      <c r="A36" t="s">
        <v>194</v>
      </c>
      <c r="C36">
        <f>C33+C34</f>
        <v>4250</v>
      </c>
      <c r="D36">
        <f>D33+D34</f>
        <v>5100</v>
      </c>
      <c r="E36" s="1">
        <f>E33+E34</f>
        <v>1105</v>
      </c>
      <c r="F36" s="11">
        <f>F33+F34</f>
        <v>3145</v>
      </c>
      <c r="G36" s="1">
        <f>G33+G34</f>
        <v>850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abSelected="1" topLeftCell="A77" zoomScale="106" workbookViewId="0">
      <selection activeCell="B98" sqref="B98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91</v>
      </c>
      <c r="D1" t="s">
        <v>92</v>
      </c>
      <c r="H1" t="s">
        <v>94</v>
      </c>
      <c r="L1" t="s">
        <v>105</v>
      </c>
    </row>
    <row r="2" spans="1:15" x14ac:dyDescent="0.2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25">
      <c r="D3" t="s">
        <v>93</v>
      </c>
      <c r="E3">
        <v>500000</v>
      </c>
      <c r="H3" t="s">
        <v>96</v>
      </c>
      <c r="J3">
        <v>432000</v>
      </c>
    </row>
    <row r="4" spans="1:15" x14ac:dyDescent="0.25">
      <c r="D4" t="s">
        <v>93</v>
      </c>
      <c r="E4">
        <v>300000</v>
      </c>
      <c r="H4" t="s">
        <v>97</v>
      </c>
      <c r="J4">
        <v>100000</v>
      </c>
    </row>
    <row r="5" spans="1:15" x14ac:dyDescent="0.25">
      <c r="D5" t="s">
        <v>93</v>
      </c>
      <c r="E5">
        <v>16000</v>
      </c>
      <c r="H5" t="s">
        <v>98</v>
      </c>
      <c r="J5">
        <v>25000</v>
      </c>
    </row>
    <row r="6" spans="1:15" x14ac:dyDescent="0.2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2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2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2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25">
      <c r="D10" t="s">
        <v>93</v>
      </c>
      <c r="E10">
        <v>113000</v>
      </c>
      <c r="H10" t="s">
        <v>103</v>
      </c>
      <c r="J10">
        <v>20000</v>
      </c>
    </row>
    <row r="11" spans="1:15" x14ac:dyDescent="0.25">
      <c r="D11" t="s">
        <v>93</v>
      </c>
      <c r="E11">
        <v>500000</v>
      </c>
      <c r="H11" t="s">
        <v>104</v>
      </c>
      <c r="J11">
        <v>32000</v>
      </c>
    </row>
    <row r="12" spans="1:15" x14ac:dyDescent="0.25">
      <c r="D12" t="s">
        <v>133</v>
      </c>
      <c r="E12">
        <v>466000</v>
      </c>
      <c r="H12" t="s">
        <v>106</v>
      </c>
      <c r="J12">
        <v>125000</v>
      </c>
    </row>
    <row r="13" spans="1:15" x14ac:dyDescent="0.25">
      <c r="D13" t="s">
        <v>150</v>
      </c>
      <c r="E13">
        <v>450000</v>
      </c>
      <c r="H13" t="s">
        <v>109</v>
      </c>
      <c r="J13">
        <v>16000</v>
      </c>
    </row>
    <row r="14" spans="1:15" x14ac:dyDescent="0.25">
      <c r="D14" t="s">
        <v>150</v>
      </c>
      <c r="E14">
        <v>1000000</v>
      </c>
      <c r="H14" t="s">
        <v>120</v>
      </c>
      <c r="J14">
        <v>500000</v>
      </c>
    </row>
    <row r="15" spans="1:15" x14ac:dyDescent="0.25">
      <c r="D15" t="s">
        <v>150</v>
      </c>
      <c r="E15">
        <v>1000000</v>
      </c>
      <c r="H15" t="s">
        <v>121</v>
      </c>
      <c r="J15">
        <v>400000</v>
      </c>
    </row>
    <row r="16" spans="1:15" x14ac:dyDescent="0.25">
      <c r="D16" t="s">
        <v>166</v>
      </c>
      <c r="E16">
        <v>500000</v>
      </c>
      <c r="H16" t="s">
        <v>122</v>
      </c>
      <c r="J16">
        <v>460000</v>
      </c>
    </row>
    <row r="17" spans="1:15" x14ac:dyDescent="0.25">
      <c r="D17" t="s">
        <v>110</v>
      </c>
      <c r="E17">
        <v>850000</v>
      </c>
      <c r="H17" t="s">
        <v>123</v>
      </c>
      <c r="J17">
        <v>45000</v>
      </c>
    </row>
    <row r="18" spans="1:15" x14ac:dyDescent="0.25">
      <c r="D18" t="s">
        <v>110</v>
      </c>
      <c r="E18">
        <v>250000</v>
      </c>
    </row>
    <row r="19" spans="1:15" x14ac:dyDescent="0.25">
      <c r="D19" t="s">
        <v>110</v>
      </c>
      <c r="E19">
        <v>125000</v>
      </c>
    </row>
    <row r="23" spans="1:15" x14ac:dyDescent="0.2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25">
      <c r="H24" t="s">
        <v>23</v>
      </c>
      <c r="J24">
        <v>600000</v>
      </c>
    </row>
    <row r="25" spans="1:15" x14ac:dyDescent="0.2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25">
      <c r="H26" t="s">
        <v>134</v>
      </c>
      <c r="J26">
        <v>113000</v>
      </c>
    </row>
    <row r="27" spans="1:15" x14ac:dyDescent="0.25">
      <c r="H27" t="s">
        <v>168</v>
      </c>
      <c r="J27">
        <v>300000</v>
      </c>
    </row>
    <row r="28" spans="1:15" x14ac:dyDescent="0.25">
      <c r="H28" t="s">
        <v>167</v>
      </c>
      <c r="J28">
        <v>550500</v>
      </c>
    </row>
    <row r="31" spans="1:15" x14ac:dyDescent="0.25">
      <c r="A31" t="s">
        <v>107</v>
      </c>
      <c r="B31">
        <f>A2-E25</f>
        <v>-4870000</v>
      </c>
    </row>
    <row r="32" spans="1:15" x14ac:dyDescent="0.25">
      <c r="A32" t="s">
        <v>108</v>
      </c>
      <c r="B32">
        <f>A2-L2</f>
        <v>-198500</v>
      </c>
    </row>
    <row r="37" spans="1:12" x14ac:dyDescent="0.25">
      <c r="A37" t="s">
        <v>111</v>
      </c>
      <c r="E37" t="s">
        <v>135</v>
      </c>
    </row>
    <row r="38" spans="1:12" x14ac:dyDescent="0.2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2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2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2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2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2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2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25">
      <c r="E45" t="s">
        <v>143</v>
      </c>
      <c r="F45">
        <v>120000</v>
      </c>
    </row>
    <row r="46" spans="1:12" x14ac:dyDescent="0.25">
      <c r="E46" t="s">
        <v>144</v>
      </c>
      <c r="F46">
        <v>1300000</v>
      </c>
    </row>
    <row r="47" spans="1:12" x14ac:dyDescent="0.25">
      <c r="H47" t="s">
        <v>147</v>
      </c>
      <c r="I47">
        <f>SUM(I40:I44)</f>
        <v>966000</v>
      </c>
    </row>
    <row r="50" spans="1:14" x14ac:dyDescent="0.2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25">
      <c r="M52" t="s">
        <v>236</v>
      </c>
      <c r="N52">
        <f>2000*655</f>
        <v>1310000</v>
      </c>
    </row>
    <row r="53" spans="1:14" x14ac:dyDescent="0.2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2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25">
      <c r="B55" t="s">
        <v>233</v>
      </c>
      <c r="C55" t="s">
        <v>234</v>
      </c>
      <c r="M55">
        <v>400000</v>
      </c>
    </row>
    <row r="56" spans="1:14" x14ac:dyDescent="0.25">
      <c r="A56" t="s">
        <v>229</v>
      </c>
      <c r="B56">
        <v>300000</v>
      </c>
      <c r="C56">
        <v>404000</v>
      </c>
      <c r="M56">
        <v>200000</v>
      </c>
    </row>
    <row r="57" spans="1:14" x14ac:dyDescent="0.25">
      <c r="A57" t="s">
        <v>230</v>
      </c>
      <c r="B57">
        <v>400000</v>
      </c>
      <c r="C57">
        <v>370000</v>
      </c>
      <c r="M57">
        <v>310000</v>
      </c>
    </row>
    <row r="58" spans="1:14" x14ac:dyDescent="0.2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232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4</v>
      </c>
      <c r="M64">
        <f>SUM(M53:M62)</f>
        <v>1310000</v>
      </c>
    </row>
    <row r="66" spans="1:18" x14ac:dyDescent="0.25">
      <c r="B66" t="s">
        <v>243</v>
      </c>
      <c r="C66" t="s">
        <v>245</v>
      </c>
      <c r="D66" t="s">
        <v>247</v>
      </c>
    </row>
    <row r="67" spans="1:18" x14ac:dyDescent="0.2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25">
      <c r="A68" s="1" t="s">
        <v>240</v>
      </c>
      <c r="B68" s="1">
        <v>396250</v>
      </c>
      <c r="C68" s="1">
        <v>396250</v>
      </c>
    </row>
    <row r="69" spans="1:18" x14ac:dyDescent="0.25">
      <c r="A69" s="1" t="s">
        <v>241</v>
      </c>
      <c r="B69" s="1">
        <v>350000</v>
      </c>
      <c r="C69" s="1">
        <v>350000</v>
      </c>
    </row>
    <row r="70" spans="1:18" x14ac:dyDescent="0.25">
      <c r="A70" s="1" t="s">
        <v>242</v>
      </c>
      <c r="B70" s="1">
        <v>400000</v>
      </c>
      <c r="C70" s="1">
        <v>400000</v>
      </c>
    </row>
    <row r="71" spans="1:18" x14ac:dyDescent="0.2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2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2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2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2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2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2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2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2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2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25">
      <c r="A81" s="1" t="s">
        <v>289</v>
      </c>
      <c r="B81" s="1">
        <v>480000</v>
      </c>
      <c r="C81" s="1">
        <f>280000+100000+110000</f>
        <v>490000</v>
      </c>
    </row>
    <row r="82" spans="1:18" x14ac:dyDescent="0.25">
      <c r="A82" s="1" t="s">
        <v>287</v>
      </c>
      <c r="B82" s="1">
        <v>292000</v>
      </c>
      <c r="C82" s="1">
        <f>292000</f>
        <v>292000</v>
      </c>
    </row>
    <row r="83" spans="1:18" x14ac:dyDescent="0.25">
      <c r="A83" t="s">
        <v>290</v>
      </c>
      <c r="B83">
        <v>200000</v>
      </c>
      <c r="C83">
        <f>50000+50000</f>
        <v>100000</v>
      </c>
    </row>
    <row r="84" spans="1:18" x14ac:dyDescent="0.25">
      <c r="A84" s="1" t="s">
        <v>296</v>
      </c>
      <c r="B84" s="1">
        <v>580000</v>
      </c>
      <c r="C84" s="1">
        <v>580000</v>
      </c>
    </row>
    <row r="85" spans="1:18" x14ac:dyDescent="0.25">
      <c r="A85" s="1" t="s">
        <v>110</v>
      </c>
      <c r="B85" s="1">
        <v>500000</v>
      </c>
      <c r="C85" s="1">
        <v>500000</v>
      </c>
    </row>
    <row r="86" spans="1:18" x14ac:dyDescent="0.25">
      <c r="A86" s="1" t="s">
        <v>302</v>
      </c>
      <c r="B86" s="1">
        <v>200000</v>
      </c>
      <c r="C86" s="1">
        <v>200000</v>
      </c>
    </row>
    <row r="87" spans="1:18" x14ac:dyDescent="0.25">
      <c r="A87" s="1" t="s">
        <v>300</v>
      </c>
      <c r="B87" s="1">
        <v>250000</v>
      </c>
      <c r="C87" s="1">
        <v>250000</v>
      </c>
    </row>
    <row r="88" spans="1:18" x14ac:dyDescent="0.25">
      <c r="A88" s="1" t="s">
        <v>301</v>
      </c>
      <c r="B88" s="1">
        <v>100000</v>
      </c>
      <c r="C88" s="1">
        <v>100000</v>
      </c>
    </row>
    <row r="89" spans="1:18" x14ac:dyDescent="0.25">
      <c r="A89" s="1" t="s">
        <v>305</v>
      </c>
      <c r="B89" s="1">
        <v>360000</v>
      </c>
      <c r="C89" s="1">
        <v>360000</v>
      </c>
    </row>
    <row r="90" spans="1:18" x14ac:dyDescent="0.25">
      <c r="A90" s="1" t="s">
        <v>295</v>
      </c>
      <c r="B90" s="1">
        <v>350000</v>
      </c>
      <c r="C90" s="1">
        <v>350000</v>
      </c>
    </row>
    <row r="91" spans="1:18" x14ac:dyDescent="0.25">
      <c r="A91" s="1" t="s">
        <v>265</v>
      </c>
      <c r="B91" s="1">
        <v>200000</v>
      </c>
      <c r="C91" s="1">
        <f>200000</f>
        <v>200000</v>
      </c>
    </row>
    <row r="93" spans="1:18" x14ac:dyDescent="0.2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2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2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25">
      <c r="L96">
        <v>130</v>
      </c>
      <c r="O96">
        <v>6</v>
      </c>
      <c r="R96">
        <v>67</v>
      </c>
    </row>
    <row r="97" spans="1:18" x14ac:dyDescent="0.2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2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2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1" t="s">
        <v>175</v>
      </c>
      <c r="B3" s="1"/>
      <c r="C3" s="1"/>
      <c r="D3" s="1"/>
      <c r="E3" s="1"/>
    </row>
    <row r="4" spans="1:7" x14ac:dyDescent="0.25">
      <c r="A4" s="1"/>
      <c r="B4" s="1"/>
      <c r="C4" s="1" t="s">
        <v>176</v>
      </c>
      <c r="D4" s="1"/>
      <c r="E4" s="1" t="s">
        <v>177</v>
      </c>
    </row>
    <row r="5" spans="1:7" x14ac:dyDescent="0.2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2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25">
      <c r="A7" s="1"/>
      <c r="B7" s="1" t="s">
        <v>184</v>
      </c>
      <c r="C7" s="1"/>
      <c r="D7" s="1"/>
      <c r="E7" s="1">
        <v>60000</v>
      </c>
    </row>
    <row r="8" spans="1:7" x14ac:dyDescent="0.25">
      <c r="A8" s="1"/>
      <c r="B8" s="1" t="s">
        <v>173</v>
      </c>
      <c r="C8" s="1">
        <v>60000</v>
      </c>
      <c r="D8" s="1"/>
      <c r="E8" s="1">
        <v>60000</v>
      </c>
    </row>
    <row r="9" spans="1:7" x14ac:dyDescent="0.2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25">
      <c r="A10" s="1"/>
      <c r="B10" s="1"/>
      <c r="C10" s="1"/>
      <c r="D10" s="1"/>
      <c r="E10" s="1"/>
    </row>
    <row r="11" spans="1:7" x14ac:dyDescent="0.2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25">
      <c r="A14" t="s">
        <v>178</v>
      </c>
      <c r="B14" t="s">
        <v>179</v>
      </c>
      <c r="C14">
        <v>2000000</v>
      </c>
      <c r="E14" s="1">
        <v>500000</v>
      </c>
    </row>
    <row r="15" spans="1:7" x14ac:dyDescent="0.25">
      <c r="B15" t="s">
        <v>183</v>
      </c>
      <c r="C15">
        <v>600000</v>
      </c>
      <c r="E15" s="1">
        <v>600000</v>
      </c>
    </row>
    <row r="16" spans="1:7" x14ac:dyDescent="0.25">
      <c r="B16" t="s">
        <v>180</v>
      </c>
      <c r="C16">
        <v>45000</v>
      </c>
      <c r="E16" s="1">
        <v>45000</v>
      </c>
    </row>
    <row r="17" spans="2:7" x14ac:dyDescent="0.25">
      <c r="B17" t="s">
        <v>181</v>
      </c>
      <c r="C17">
        <v>150000</v>
      </c>
      <c r="E17" s="1">
        <v>150000</v>
      </c>
    </row>
    <row r="18" spans="2:7" x14ac:dyDescent="0.25">
      <c r="B18" t="s">
        <v>185</v>
      </c>
      <c r="E18" s="1">
        <v>32000</v>
      </c>
    </row>
    <row r="19" spans="2:7" x14ac:dyDescent="0.25">
      <c r="B19" t="s">
        <v>186</v>
      </c>
      <c r="D19" t="s">
        <v>110</v>
      </c>
      <c r="E19" s="1">
        <v>1390000</v>
      </c>
    </row>
    <row r="20" spans="2:7" x14ac:dyDescent="0.25">
      <c r="B20" t="s">
        <v>182</v>
      </c>
      <c r="C20">
        <v>14000</v>
      </c>
      <c r="E20" s="1">
        <v>14000</v>
      </c>
    </row>
    <row r="21" spans="2:7" x14ac:dyDescent="0.25">
      <c r="B21" t="s">
        <v>179</v>
      </c>
      <c r="D21" t="s">
        <v>110</v>
      </c>
      <c r="E21" s="1">
        <v>500000</v>
      </c>
    </row>
    <row r="22" spans="2:7" x14ac:dyDescent="0.2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36</v>
      </c>
      <c r="O2" t="s">
        <v>42</v>
      </c>
    </row>
    <row r="4" spans="1:16" x14ac:dyDescent="0.2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25">
      <c r="L5" t="s">
        <v>37</v>
      </c>
      <c r="M5">
        <v>3057</v>
      </c>
      <c r="O5" t="s">
        <v>44</v>
      </c>
      <c r="P5">
        <v>200</v>
      </c>
    </row>
    <row r="6" spans="1:16" x14ac:dyDescent="0.25">
      <c r="A6" t="s">
        <v>39</v>
      </c>
      <c r="B6">
        <v>2300</v>
      </c>
      <c r="L6" t="s">
        <v>40</v>
      </c>
      <c r="M6">
        <v>1525</v>
      </c>
    </row>
    <row r="7" spans="1:16" x14ac:dyDescent="0.2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25">
      <c r="A8" t="s">
        <v>38</v>
      </c>
      <c r="B8">
        <v>2260</v>
      </c>
      <c r="L8" t="s">
        <v>41</v>
      </c>
      <c r="M8">
        <v>2310</v>
      </c>
    </row>
    <row r="9" spans="1:16" x14ac:dyDescent="0.2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25">
      <c r="L10" t="s">
        <v>45</v>
      </c>
      <c r="M10">
        <v>100</v>
      </c>
    </row>
    <row r="13" spans="1:16" x14ac:dyDescent="0.25">
      <c r="G13" t="s">
        <v>34</v>
      </c>
    </row>
    <row r="14" spans="1:16" x14ac:dyDescent="0.25">
      <c r="A14" t="s">
        <v>33</v>
      </c>
      <c r="C14">
        <f>B9+E9</f>
        <v>500</v>
      </c>
    </row>
    <row r="19" spans="1:13" x14ac:dyDescent="0.2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25">
      <c r="A22" t="s">
        <v>30</v>
      </c>
      <c r="B22">
        <v>7640</v>
      </c>
      <c r="D22" t="s">
        <v>32</v>
      </c>
      <c r="E22">
        <v>3820</v>
      </c>
    </row>
    <row r="24" spans="1:13" x14ac:dyDescent="0.2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25">
      <c r="G28" t="s">
        <v>34</v>
      </c>
    </row>
    <row r="29" spans="1:13" x14ac:dyDescent="0.2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25</vt:i4>
      </vt:variant>
    </vt:vector>
  </HeadingPairs>
  <TitlesOfParts>
    <vt:vector size="25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2025-06-01T08:20:45Z</dcterms:modified>
</cp:coreProperties>
</file>