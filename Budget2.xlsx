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45E80E9E-4B53-4AA2-AE99-49FA886FD185}" xr6:coauthVersionLast="47" xr6:coauthVersionMax="47" xr10:uidLastSave="{00000000-0000-0000-0000-000000000000}"/>
  <bookViews>
    <workbookView xWindow="-120" yWindow="-120" windowWidth="29040" windowHeight="15840" firstSheet="24" activeTab="31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27" l="1"/>
  <c r="B90" i="27"/>
  <c r="C83" i="27"/>
  <c r="C76" i="27"/>
  <c r="H4" i="48"/>
  <c r="C73" i="27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2" i="27"/>
  <c r="O92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2" i="27"/>
  <c r="R74" i="27"/>
  <c r="R73" i="27"/>
  <c r="R72" i="27"/>
  <c r="R88" i="27" s="1"/>
  <c r="O73" i="27"/>
  <c r="O72" i="27"/>
  <c r="I74" i="27"/>
  <c r="L75" i="27"/>
  <c r="L74" i="27"/>
  <c r="L73" i="27"/>
  <c r="L72" i="27"/>
  <c r="C84" i="27"/>
  <c r="C67" i="27"/>
  <c r="B67" i="27"/>
  <c r="B73" i="27"/>
  <c r="C15" i="46"/>
  <c r="B75" i="27"/>
  <c r="L88" i="27" l="1"/>
  <c r="I88" i="27"/>
  <c r="O88" i="27"/>
  <c r="D26" i="48"/>
  <c r="C29" i="48" s="1"/>
  <c r="J34" i="48" s="1"/>
  <c r="M96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6" i="27"/>
  <c r="C87" i="27" s="1"/>
  <c r="B92" i="27" s="1"/>
  <c r="B86" i="27"/>
  <c r="B87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<sst xmlns="http://schemas.openxmlformats.org/spreadsheetml/2006/main" count="1809" uniqueCount="461">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</sst>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C10" sqref="C10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1553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opLeftCell="A16" workbookViewId="0">
      <selection activeCell="C31" sqref="C31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2616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18500</v>
      </c>
    </row>
    <row r="22" spans="1:15" x14ac:dyDescent="0.25">
      <c r="M22">
        <f>SUM(M7:M20)</f>
        <v>2500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6"/>
  <sheetViews>
    <sheetView tabSelected="1" topLeftCell="A62" zoomScale="106" workbookViewId="0">
      <selection activeCell="B78" sqref="B78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</row>
    <row r="79" spans="1:18" x14ac:dyDescent="0.25">
      <c r="A79" t="s">
        <v>435</v>
      </c>
      <c r="B79">
        <v>400000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t="s">
        <v>457</v>
      </c>
      <c r="B81">
        <v>480000</v>
      </c>
      <c r="C81">
        <v>280000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</f>
        <v>50000</v>
      </c>
    </row>
    <row r="84" spans="1:18" x14ac:dyDescent="0.25">
      <c r="A84" s="5" t="s">
        <v>433</v>
      </c>
      <c r="B84" s="5">
        <v>200000</v>
      </c>
      <c r="C84" s="5">
        <f>200000</f>
        <v>200000</v>
      </c>
    </row>
    <row r="86" spans="1:18" x14ac:dyDescent="0.25">
      <c r="A86" t="s">
        <v>6</v>
      </c>
      <c r="B86">
        <f>SUM(B67:B84)</f>
        <v>10072750</v>
      </c>
      <c r="C86">
        <f>SUM(C67:C84)</f>
        <v>7331750</v>
      </c>
    </row>
    <row r="87" spans="1:18" x14ac:dyDescent="0.25">
      <c r="A87" t="s">
        <v>421</v>
      </c>
      <c r="B87">
        <f>B86/655</f>
        <v>15378.24427480916</v>
      </c>
      <c r="C87">
        <f>C86/655</f>
        <v>11193.511450381679</v>
      </c>
    </row>
    <row r="88" spans="1:18" x14ac:dyDescent="0.25">
      <c r="H88" t="s">
        <v>453</v>
      </c>
      <c r="I88">
        <f>SUM(I74:I80)</f>
        <v>45.894999999999996</v>
      </c>
      <c r="K88" t="s">
        <v>6</v>
      </c>
      <c r="L88">
        <f>SUM(L72:L87)</f>
        <v>84.603999999999985</v>
      </c>
      <c r="N88" t="s">
        <v>6</v>
      </c>
      <c r="O88">
        <f t="shared" ref="O88" si="0">SUM(O72:O87)</f>
        <v>11.743600000000001</v>
      </c>
      <c r="Q88" t="s">
        <v>175</v>
      </c>
      <c r="R88">
        <f t="shared" ref="R88" si="1">SUM(R72:R87)</f>
        <v>67.2</v>
      </c>
    </row>
    <row r="89" spans="1:18" x14ac:dyDescent="0.25">
      <c r="L89">
        <v>130</v>
      </c>
      <c r="O89">
        <v>6</v>
      </c>
      <c r="R89">
        <v>67</v>
      </c>
    </row>
    <row r="90" spans="1:18" x14ac:dyDescent="0.25">
      <c r="A90" t="s">
        <v>417</v>
      </c>
      <c r="B90">
        <f>2000+4000+3000+800+1500</f>
        <v>11300</v>
      </c>
      <c r="C90" t="s">
        <v>234</v>
      </c>
      <c r="D90" t="s">
        <v>240</v>
      </c>
      <c r="E90" t="s">
        <v>460</v>
      </c>
      <c r="F90" t="s">
        <v>222</v>
      </c>
      <c r="G90" t="s">
        <v>459</v>
      </c>
    </row>
    <row r="92" spans="1:18" x14ac:dyDescent="0.25">
      <c r="A92" t="s">
        <v>99</v>
      </c>
      <c r="B92">
        <f>B90-C87</f>
        <v>106.48854961832149</v>
      </c>
      <c r="L92">
        <f>L89*7000</f>
        <v>910000</v>
      </c>
      <c r="O92">
        <f>O89*5000</f>
        <v>30000</v>
      </c>
      <c r="R92">
        <f>R89*5500</f>
        <v>368500</v>
      </c>
    </row>
    <row r="96" spans="1:18" x14ac:dyDescent="0.25">
      <c r="K96" t="s">
        <v>175</v>
      </c>
      <c r="M96">
        <f>I92+L92+O92+R92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2025-03-27T20:36:34Z</dcterms:modified>
</cp:coreProperties>
</file>