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2E7E0B10-4297-49B7-95C4-5467CB1A6ABA}" xr6:coauthVersionLast="47" xr6:coauthVersionMax="47" xr10:uidLastSave="{00000000-0000-0000-0000-000000000000}"/>
  <bookViews>
    <workbookView xWindow="-98" yWindow="-98" windowWidth="23596" windowHeight="15076" firstSheet="12" activeTab="20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Credit" sheetId="28" r:id="rId21"/>
    <sheet name="Entreprise" sheetId="35" r:id="rId22"/>
    <sheet name="Construction " sheetId="27" r:id="rId23"/>
    <sheet name="Construction2" sheetId="39" r:id="rId24"/>
    <sheet name="Terrain" sheetId="18" r:id="rId25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7" i="27" l="1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R95" i="27" l="1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</calcChain>
</file>

<file path=xl/sharedStrings.xml><?xml version="1.0" encoding="utf-8"?>
<sst xmlns="http://schemas.openxmlformats.org/spreadsheetml/2006/main" count="1475" uniqueCount="308">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</sst>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tabSelected="1" workbookViewId="0">
      <selection activeCell="C34" sqref="C34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</row>
    <row r="16" spans="1:15" x14ac:dyDescent="0.5">
      <c r="I16" t="s">
        <v>21</v>
      </c>
      <c r="J16">
        <f>J14-M22</f>
        <v>1616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16000</v>
      </c>
    </row>
    <row r="22" spans="1:15" x14ac:dyDescent="0.5">
      <c r="M22">
        <f>SUM(M7:M20)</f>
        <v>3500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/>
      <c r="C34" s="9"/>
      <c r="D34" s="9"/>
      <c r="E34" s="9"/>
      <c r="F34" s="9"/>
    </row>
    <row r="35" spans="1:6" x14ac:dyDescent="0.5">
      <c r="A35" s="9" t="s">
        <v>307</v>
      </c>
      <c r="B35" s="9"/>
      <c r="C35" s="9"/>
      <c r="D35" s="9"/>
      <c r="E35" s="9"/>
      <c r="F35" s="9"/>
    </row>
    <row r="36" spans="1:6" x14ac:dyDescent="0.5">
      <c r="A36" s="9" t="s">
        <v>65</v>
      </c>
      <c r="B36" s="9"/>
      <c r="C36" s="9"/>
      <c r="D36" s="9"/>
      <c r="E36" s="9"/>
      <c r="F36" s="9"/>
    </row>
    <row r="37" spans="1:6" x14ac:dyDescent="0.5">
      <c r="A37" s="9"/>
      <c r="B37" s="9"/>
      <c r="C37" s="9"/>
      <c r="D37" s="9"/>
      <c r="E37" s="9"/>
      <c r="F37" s="9"/>
    </row>
    <row r="38" spans="1:6" x14ac:dyDescent="0.5">
      <c r="A38" s="9"/>
      <c r="B38" s="9"/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2500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5500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9" workbookViewId="0">
      <selection activeCell="C35" sqref="C35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f>C28+(C28*20%)</f>
        <v>9780</v>
      </c>
      <c r="E28" s="1">
        <f>C28*21%</f>
        <v>1711.5</v>
      </c>
      <c r="F28" s="1">
        <f>C28-E28</f>
        <v>6438.5</v>
      </c>
      <c r="G28" s="1">
        <f>D28-C28</f>
        <v>1630</v>
      </c>
    </row>
    <row r="30" spans="1:9" x14ac:dyDescent="0.5">
      <c r="A30" t="s">
        <v>194</v>
      </c>
      <c r="C30">
        <f>C27+C28</f>
        <v>8150</v>
      </c>
      <c r="D30">
        <f>D27+D28</f>
        <v>9780</v>
      </c>
      <c r="E30" s="1">
        <f>E27+E28</f>
        <v>1711.5</v>
      </c>
      <c r="F30" s="11">
        <f>F27+F28</f>
        <v>6438.5</v>
      </c>
      <c r="G30" s="1">
        <f>G27+G28</f>
        <v>1630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4250</v>
      </c>
      <c r="D34" s="1">
        <f>C34+(C34*20%)</f>
        <v>5100</v>
      </c>
      <c r="E34" s="1">
        <f>C34*26%</f>
        <v>1105</v>
      </c>
      <c r="F34" s="1">
        <f>C34-E34</f>
        <v>3145</v>
      </c>
      <c r="G34" s="1">
        <f>D34-C34</f>
        <v>850</v>
      </c>
    </row>
    <row r="36" spans="1:7" x14ac:dyDescent="0.5">
      <c r="A36" t="s">
        <v>194</v>
      </c>
      <c r="C36">
        <f>C33+C34</f>
        <v>4250</v>
      </c>
      <c r="D36">
        <f>D33+D34</f>
        <v>5100</v>
      </c>
      <c r="E36" s="1">
        <f>E33+E34</f>
        <v>1105</v>
      </c>
      <c r="F36" s="11">
        <f>F33+F34</f>
        <v>3145</v>
      </c>
      <c r="G36" s="1">
        <f>G33+G34</f>
        <v>850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25</vt:i4>
      </vt:variant>
    </vt:vector>
  </HeadingPairs>
  <TitlesOfParts>
    <vt:vector size="25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2025-06-16T19:31:08Z</dcterms:modified>
</cp:coreProperties>
</file>