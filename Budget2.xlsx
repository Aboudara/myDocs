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62522BD9-3654-4111-B245-9791A1E3132C}" xr6:coauthVersionLast="47" xr6:coauthVersionMax="47" xr10:uidLastSave="{00000000-0000-0000-0000-000000000000}"/>
  <bookViews>
    <workbookView xWindow="-69" yWindow="-69" windowWidth="26880" windowHeight="17246" firstSheet="19" activeTab="27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AOUT25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  <sheet name="Poulayer" sheetId="54" r:id="rId28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54" l="1"/>
  <c r="B21" i="54"/>
  <c r="P125" i="53"/>
  <c r="E121" i="53"/>
  <c r="B106" i="53"/>
  <c r="D106" i="53" s="1"/>
  <c r="F54" i="53"/>
  <c r="M39" i="53"/>
  <c r="E36" i="53"/>
  <c r="Q22" i="53"/>
  <c r="N22" i="53"/>
  <c r="P26" i="53" s="1"/>
  <c r="L29" i="53" s="1"/>
  <c r="I22" i="53"/>
  <c r="F22" i="53"/>
  <c r="C22" i="53"/>
  <c r="T14" i="53"/>
  <c r="P125" i="52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D26" i="53" l="1"/>
  <c r="C29" i="53" s="1"/>
  <c r="J34" i="53" s="1"/>
  <c r="C34" i="53"/>
  <c r="C34" i="52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<sst xmlns="http://schemas.openxmlformats.org/spreadsheetml/2006/main" count="1627" uniqueCount="319">
  <si>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</si>
  <si>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</si>
  <si>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</si>
  <si>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</si>
  <si>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</si>
  <si>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</si>
  <si>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</si>
  <si>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</si>
  <si>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</si>
  <si>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</si>
  <si>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</si>
  <si>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</si>
  <si>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</si>
  <si>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</si>
  <si>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</si>
  <si>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</si>
  <si>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</si>
  <si>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</si>
  <si>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</si>
  <si>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</si>
  <si>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</si>
  <si>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</si>
  <si>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</si>
  <si>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</si>
  <si>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</si>
  <si>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</si>
  <si>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</si>
  <si>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</si>
  <si>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</si>
  <si>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</si>
  <si>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</si>
  <si>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</si>
  <si>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</si>
  <si>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</si>
  <si>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</si>
  <si>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</si>
  <si>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</si>
  <si>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</si>
  <si>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</si>
  <si>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</si>
  <si>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</si>
  <si>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</si>
  <si>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</si>
  <si>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</si>
  <si>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</si>
  <si>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</si>
  <si>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</si>
  <si>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</si>
  <si>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</si>
  <si>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</si>
  <si>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</si>
  <si>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</si>
  <si>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</si>
  <si>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</si>
  <si>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</si>
  <si>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</si>
  <si>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</si>
  <si>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</si>
  <si>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</si>
  <si>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</si>
  <si>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</si>
  <si>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</si>
  <si>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</si>
  <si>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</si>
  <si>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</si>
  <si>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</si>
  <si>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</si>
  <si>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</si>
  <si>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</si>
  <si>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</si>
  <si>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</si>
  <si>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</si>
  <si>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</si>
  <si>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</si>
  <si>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</si>
  <si>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</si>
  <si>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</si>
  <si>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</si>
  <si>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</si>
  <si>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</si>
  <si>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</si>
  <si>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</si>
  <si>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</si>
  <si>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</si>
  <si>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</si>
  <si>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</si>
  <si>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</si>
  <si>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</si>
  <si>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</si>
  <si>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</si>
  <si>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</si>
  <si>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</si>
  <si>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</si>
  <si>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</si>
  <si>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</si>
  <si>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</si>
  <si>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</si>
  <si>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</si>
  <si>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</si>
  <si>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</si>
  <si>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</si>
  <si>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</si>
  <si>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</si>
  <si>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</si>
  <si>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</si>
  <si>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</si>
  <si>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</si>
  <si>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</si>
  <si>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</si>
  <si>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</si>
  <si>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</si>
  <si>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</si>
  <si>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</si>
  <si>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</si>
  <si>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</si>
  <si>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</si>
  <si>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</si>
  <si>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</si>
  <si>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</si>
  <si>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</si>
  <si>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</si>
  <si>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</si>
  <si>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</si>
  <si>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</si>
  <si>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</si>
  <si>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</si>
  <si>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</si>
  <si>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</si>
  <si>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</si>
  <si>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</si>
  <si>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</si>
  <si>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</si>
  <si>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</si>
  <si>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</si>
  <si>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</si>
  <si>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</si>
  <si>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</si>
  <si>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</si>
  <si>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</si>
  <si>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</si>
  <si>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</si>
  <si>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</si>
  <si>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</si>
  <si>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</si>
  <si>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</si>
  <si>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</si>
  <si>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</si>
  <si>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</si>
  <si>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</si>
  <si>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</si>
  <si>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</si>
  <si>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</si>
  <si>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</si>
  <si>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</si>
  <si>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</si>
  <si>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</si>
  <si>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</si>
  <si>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</si>
  <si>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</si>
  <si>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</si>
  <si>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</si>
  <si>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</si>
  <si>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</si>
  <si>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</si>
  <si>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</si>
  <si>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</si>
  <si>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</si>
  <si>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</si>
  <si>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</si>
  <si>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</si>
  <si>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</si>
  <si>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</si>
  <si>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</si>
  <si>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</si>
  <si>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</si>
  <si>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</si>
  <si>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</si>
  <si>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</si>
  <si>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</si>
  <si>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</si>
  <si>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</si>
  <si>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</si>
  <si>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</si>
  <si>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</si>
  <si>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</si>
  <si>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</si>
  <si>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</si>
  <si>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</si>
  <si>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</si>
  <si>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</si>
  <si>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</si>
  <si>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</si>
  <si>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</si>
  <si>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</si>
  <si>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</si>
  <si>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</si>
  <si>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</si>
  <si>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</si>
  <si>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</si>
  <si>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</si>
  <si>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</si>
  <si>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</si>
  <si>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</si>
  <si>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</si>
  <si>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</si>
  <si>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</si>
  <si>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</si>
  <si>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</si>
  <si>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</si>
  <si>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</si>
  <si>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</si>
  <si>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</si>
  <si>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</si>
  <si>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</si>
  <si>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</si>
  <si>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</si>
  <si>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</si>
  <si>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</si>
  <si>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</si>
  <si>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</si>
  <si>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</si>
  <si>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</si>
  <si>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</si>
  <si>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</si>
  <si>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</si>
  <si>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</si>
  <si>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</si>
  <si>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</si>
  <si>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</si>
  <si>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</si>
  <si>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</si>
  <si>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</si>
  <si>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</si>
  <si>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</si>
  <si>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</si>
  <si>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</si>
  <si>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</si>
  <si>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</si>
  <si>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</si>
  <si>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</si>
  <si>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</si>
  <si>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</si>
  <si>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</si>
  <si>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</si>
  <si>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</si>
  <si>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</si>
  <si>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</si>
  <si>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</si>
  <si>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</si>
  <si>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</si>
  <si>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</si>
  <si>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</si>
  <si>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</si>
  <si>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</si>
  <si>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</si>
  <si>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</si>
  <si>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</si>
  <si>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</si>
  <si>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</si>
  <si>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</si>
  <si>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</si>
  <si>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</si>
  <si>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</si>
  <si>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</si>
  <si>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</si>
  <si>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</si>
  <si>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</si>
  <si>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</si>
  <si>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</si>
  <si>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</si>
  <si>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</si>
  <si>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</si>
  <si>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</si>
  <si>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</si>
  <si>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</si>
  <si>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</si>
  <si>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</si>
  <si>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</si>
  <si>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</si>
  <si>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</si>
  <si>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</si>
  <si>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</si>
  <si>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</si>
  <si>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</si>
  <si>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</si>
  <si>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</si>
  <si>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</si>
  <si>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</si>
  <si>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</si>
  <si>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</si>
  <si>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</si>
  <si>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</si>
  <si>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</si>
  <si>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</si>
  <si>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</si>
  <si>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</si>
  <si>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</si>
  <si>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</si>
  <si>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</si>
  <si>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</si>
  <si>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</si>
  <si>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</si>
  <si>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</si>
  <si>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</si>
  <si>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</si>
  <si>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</si>
  <si>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</si>
  <si>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</si>
  <si>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</si>
  <si>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</si>
  <si>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</si>
  <si>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</si>
  <si>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</si>
  <si>
    <t>Investissment Poulayer</t>
  </si>
  <si>
    <t xml:space="preserve">Protecte porte </t>
  </si>
  <si>
    <t xml:space="preserve">Mathos </t>
  </si>
  <si>
    <t>Caisse possin</t>
  </si>
  <si>
    <t xml:space="preserve">Sac aliment </t>
  </si>
  <si>
    <t>Aliment finition et vaccin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</si>
</sst>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4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4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45">
      <c r="B60" s="7" t="s">
        <v>2</v>
      </c>
      <c r="C60" s="4">
        <v>1900</v>
      </c>
    </row>
    <row r="96" spans="2:2" x14ac:dyDescent="0.45">
      <c r="B96">
        <v>3000</v>
      </c>
    </row>
    <row r="97" spans="2:16" x14ac:dyDescent="0.45">
      <c r="B97">
        <v>2500</v>
      </c>
      <c r="J97">
        <v>3000</v>
      </c>
    </row>
    <row r="98" spans="2:16" x14ac:dyDescent="0.45">
      <c r="B98">
        <v>2500</v>
      </c>
      <c r="J98">
        <v>600</v>
      </c>
    </row>
    <row r="99" spans="2:16" x14ac:dyDescent="0.45">
      <c r="B99">
        <v>800</v>
      </c>
    </row>
    <row r="100" spans="2:16" x14ac:dyDescent="0.45">
      <c r="B100">
        <v>700</v>
      </c>
    </row>
    <row r="104" spans="2:16" x14ac:dyDescent="0.45">
      <c r="B104">
        <f>SUM(B96:B100)</f>
        <v>9500</v>
      </c>
      <c r="D104">
        <f>B104-7000</f>
        <v>2500</v>
      </c>
    </row>
    <row r="105" spans="2:16" x14ac:dyDescent="0.45">
      <c r="P105">
        <v>126</v>
      </c>
    </row>
    <row r="106" spans="2:16" x14ac:dyDescent="0.45">
      <c r="P106" s="4">
        <v>12</v>
      </c>
    </row>
    <row r="107" spans="2:16" x14ac:dyDescent="0.45">
      <c r="P107" s="4">
        <v>10</v>
      </c>
    </row>
    <row r="108" spans="2:16" x14ac:dyDescent="0.45">
      <c r="P108" s="4">
        <v>20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3.99</v>
      </c>
    </row>
    <row r="112" spans="2:16" x14ac:dyDescent="0.45">
      <c r="P112" s="4">
        <v>100</v>
      </c>
    </row>
    <row r="113" spans="5:16" x14ac:dyDescent="0.45">
      <c r="E113">
        <v>1400</v>
      </c>
      <c r="P113" s="4">
        <v>75</v>
      </c>
    </row>
    <row r="114" spans="5:16" x14ac:dyDescent="0.45">
      <c r="E114">
        <v>1300</v>
      </c>
      <c r="P114" s="4">
        <v>60</v>
      </c>
    </row>
    <row r="115" spans="5:16" x14ac:dyDescent="0.45">
      <c r="E115">
        <v>950</v>
      </c>
      <c r="P115" s="4"/>
    </row>
    <row r="116" spans="5:16" x14ac:dyDescent="0.45">
      <c r="P116" s="4">
        <v>70</v>
      </c>
    </row>
    <row r="119" spans="5:16" x14ac:dyDescent="0.45">
      <c r="E119">
        <f>SUM(E113:E117)</f>
        <v>3650</v>
      </c>
    </row>
    <row r="123" spans="5:16" x14ac:dyDescent="0.4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4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4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45">
      <c r="B60" s="7" t="s">
        <v>2</v>
      </c>
      <c r="C60" s="4">
        <v>1900</v>
      </c>
    </row>
    <row r="96" spans="2:2" x14ac:dyDescent="0.45">
      <c r="B96">
        <v>3000</v>
      </c>
    </row>
    <row r="97" spans="2:16" x14ac:dyDescent="0.45">
      <c r="B97">
        <v>2500</v>
      </c>
      <c r="J97">
        <v>3000</v>
      </c>
    </row>
    <row r="98" spans="2:16" x14ac:dyDescent="0.45">
      <c r="B98">
        <v>2500</v>
      </c>
      <c r="J98">
        <v>600</v>
      </c>
    </row>
    <row r="99" spans="2:16" x14ac:dyDescent="0.45">
      <c r="B99">
        <v>800</v>
      </c>
    </row>
    <row r="100" spans="2:16" x14ac:dyDescent="0.45">
      <c r="B100">
        <v>700</v>
      </c>
    </row>
    <row r="104" spans="2:16" x14ac:dyDescent="0.45">
      <c r="B104">
        <f>SUM(B96:B100)</f>
        <v>9500</v>
      </c>
      <c r="D104">
        <f>B104-7000</f>
        <v>2500</v>
      </c>
    </row>
    <row r="105" spans="2:16" x14ac:dyDescent="0.45">
      <c r="P105">
        <v>126</v>
      </c>
    </row>
    <row r="106" spans="2:16" x14ac:dyDescent="0.45">
      <c r="P106" s="4">
        <v>12</v>
      </c>
    </row>
    <row r="107" spans="2:16" x14ac:dyDescent="0.45">
      <c r="P107" s="4">
        <v>10</v>
      </c>
    </row>
    <row r="108" spans="2:16" x14ac:dyDescent="0.45">
      <c r="P108" s="4">
        <v>20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3.99</v>
      </c>
    </row>
    <row r="112" spans="2:16" x14ac:dyDescent="0.45">
      <c r="P112" s="4">
        <v>100</v>
      </c>
    </row>
    <row r="113" spans="5:16" x14ac:dyDescent="0.45">
      <c r="E113">
        <v>1400</v>
      </c>
      <c r="P113" s="4">
        <v>75</v>
      </c>
    </row>
    <row r="114" spans="5:16" x14ac:dyDescent="0.45">
      <c r="E114">
        <v>1300</v>
      </c>
      <c r="P114" s="4">
        <v>60</v>
      </c>
    </row>
    <row r="115" spans="5:16" x14ac:dyDescent="0.45">
      <c r="E115">
        <v>950</v>
      </c>
      <c r="P115" s="4"/>
    </row>
    <row r="116" spans="5:16" x14ac:dyDescent="0.45">
      <c r="P116" s="4">
        <v>70</v>
      </c>
    </row>
    <row r="119" spans="5:16" x14ac:dyDescent="0.45">
      <c r="E119">
        <f>SUM(E113:E117)</f>
        <v>3650</v>
      </c>
    </row>
    <row r="123" spans="5:16" x14ac:dyDescent="0.4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4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4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45">
      <c r="B60" s="7" t="s">
        <v>2</v>
      </c>
      <c r="C60" s="4">
        <v>1900</v>
      </c>
    </row>
    <row r="96" spans="2:2" x14ac:dyDescent="0.45">
      <c r="B96">
        <v>3000</v>
      </c>
    </row>
    <row r="97" spans="2:16" x14ac:dyDescent="0.45">
      <c r="B97">
        <v>2500</v>
      </c>
      <c r="J97">
        <v>3000</v>
      </c>
    </row>
    <row r="98" spans="2:16" x14ac:dyDescent="0.45">
      <c r="B98">
        <v>2500</v>
      </c>
      <c r="J98">
        <v>600</v>
      </c>
    </row>
    <row r="99" spans="2:16" x14ac:dyDescent="0.45">
      <c r="B99">
        <v>800</v>
      </c>
    </row>
    <row r="100" spans="2:16" x14ac:dyDescent="0.45">
      <c r="B100">
        <v>700</v>
      </c>
    </row>
    <row r="104" spans="2:16" x14ac:dyDescent="0.45">
      <c r="B104">
        <f>SUM(B96:B100)</f>
        <v>9500</v>
      </c>
      <c r="D104">
        <f>B104-7000</f>
        <v>2500</v>
      </c>
    </row>
    <row r="105" spans="2:16" x14ac:dyDescent="0.45">
      <c r="P105">
        <v>126</v>
      </c>
    </row>
    <row r="106" spans="2:16" x14ac:dyDescent="0.45">
      <c r="P106" s="4">
        <v>12</v>
      </c>
    </row>
    <row r="107" spans="2:16" x14ac:dyDescent="0.45">
      <c r="P107" s="4">
        <v>10</v>
      </c>
    </row>
    <row r="108" spans="2:16" x14ac:dyDescent="0.45">
      <c r="P108" s="4">
        <v>20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3.99</v>
      </c>
    </row>
    <row r="112" spans="2:16" x14ac:dyDescent="0.45">
      <c r="P112" s="4">
        <v>100</v>
      </c>
    </row>
    <row r="113" spans="5:16" x14ac:dyDescent="0.45">
      <c r="E113">
        <v>1400</v>
      </c>
      <c r="P113" s="4">
        <v>75</v>
      </c>
    </row>
    <row r="114" spans="5:16" x14ac:dyDescent="0.45">
      <c r="E114">
        <v>1300</v>
      </c>
      <c r="P114" s="4">
        <v>60</v>
      </c>
    </row>
    <row r="115" spans="5:16" x14ac:dyDescent="0.45">
      <c r="E115">
        <v>950</v>
      </c>
      <c r="P115" s="4"/>
    </row>
    <row r="116" spans="5:16" x14ac:dyDescent="0.45">
      <c r="P116" s="4">
        <v>70</v>
      </c>
    </row>
    <row r="119" spans="5:16" x14ac:dyDescent="0.45">
      <c r="E119">
        <f>SUM(E113:E117)</f>
        <v>3650</v>
      </c>
    </row>
    <row r="123" spans="5:16" x14ac:dyDescent="0.4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4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4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45">
      <c r="B60" s="7" t="s">
        <v>2</v>
      </c>
      <c r="C60" s="4">
        <v>1900</v>
      </c>
    </row>
    <row r="96" spans="2:2" x14ac:dyDescent="0.45">
      <c r="B96">
        <v>3000</v>
      </c>
    </row>
    <row r="97" spans="2:16" x14ac:dyDescent="0.45">
      <c r="B97">
        <v>2500</v>
      </c>
      <c r="J97">
        <v>3000</v>
      </c>
    </row>
    <row r="98" spans="2:16" x14ac:dyDescent="0.45">
      <c r="B98">
        <v>2500</v>
      </c>
      <c r="J98">
        <v>600</v>
      </c>
    </row>
    <row r="99" spans="2:16" x14ac:dyDescent="0.45">
      <c r="B99">
        <v>800</v>
      </c>
    </row>
    <row r="100" spans="2:16" x14ac:dyDescent="0.45">
      <c r="B100">
        <v>700</v>
      </c>
    </row>
    <row r="104" spans="2:16" x14ac:dyDescent="0.45">
      <c r="B104">
        <f>SUM(B96:B100)</f>
        <v>9500</v>
      </c>
      <c r="D104">
        <f>B104-7000</f>
        <v>2500</v>
      </c>
    </row>
    <row r="105" spans="2:16" x14ac:dyDescent="0.45">
      <c r="P105">
        <v>126</v>
      </c>
    </row>
    <row r="106" spans="2:16" x14ac:dyDescent="0.45">
      <c r="P106" s="4">
        <v>12</v>
      </c>
    </row>
    <row r="107" spans="2:16" x14ac:dyDescent="0.45">
      <c r="P107" s="4">
        <v>10</v>
      </c>
    </row>
    <row r="108" spans="2:16" x14ac:dyDescent="0.45">
      <c r="P108" s="4">
        <v>20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3.99</v>
      </c>
    </row>
    <row r="112" spans="2:16" x14ac:dyDescent="0.45">
      <c r="P112" s="4">
        <v>100</v>
      </c>
    </row>
    <row r="113" spans="5:16" x14ac:dyDescent="0.45">
      <c r="E113">
        <v>1400</v>
      </c>
      <c r="P113" s="4">
        <v>75</v>
      </c>
    </row>
    <row r="114" spans="5:16" x14ac:dyDescent="0.45">
      <c r="E114">
        <v>1300</v>
      </c>
      <c r="P114" s="4">
        <v>60</v>
      </c>
    </row>
    <row r="115" spans="5:16" x14ac:dyDescent="0.45">
      <c r="E115">
        <v>950</v>
      </c>
      <c r="P115" s="4"/>
    </row>
    <row r="116" spans="5:16" x14ac:dyDescent="0.45">
      <c r="P116" s="4">
        <v>70</v>
      </c>
    </row>
    <row r="119" spans="5:16" x14ac:dyDescent="0.45">
      <c r="E119">
        <f>SUM(E113:E117)</f>
        <v>3650</v>
      </c>
    </row>
    <row r="123" spans="5:16" x14ac:dyDescent="0.4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4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4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45">
      <c r="B60" s="7" t="s">
        <v>2</v>
      </c>
      <c r="C60" s="4">
        <v>1900</v>
      </c>
    </row>
    <row r="96" spans="2:2" x14ac:dyDescent="0.45">
      <c r="B96">
        <v>3000</v>
      </c>
    </row>
    <row r="97" spans="2:16" x14ac:dyDescent="0.45">
      <c r="B97">
        <v>2500</v>
      </c>
      <c r="J97">
        <v>3000</v>
      </c>
    </row>
    <row r="98" spans="2:16" x14ac:dyDescent="0.45">
      <c r="B98">
        <v>2500</v>
      </c>
      <c r="J98">
        <v>600</v>
      </c>
    </row>
    <row r="99" spans="2:16" x14ac:dyDescent="0.45">
      <c r="B99">
        <v>800</v>
      </c>
    </row>
    <row r="100" spans="2:16" x14ac:dyDescent="0.45">
      <c r="B100">
        <v>700</v>
      </c>
    </row>
    <row r="104" spans="2:16" x14ac:dyDescent="0.45">
      <c r="B104">
        <f>SUM(B96:B100)</f>
        <v>9500</v>
      </c>
      <c r="D104">
        <f>B104-7000</f>
        <v>2500</v>
      </c>
    </row>
    <row r="105" spans="2:16" x14ac:dyDescent="0.45">
      <c r="P105">
        <v>126</v>
      </c>
    </row>
    <row r="106" spans="2:16" x14ac:dyDescent="0.45">
      <c r="P106" s="4">
        <v>12</v>
      </c>
    </row>
    <row r="107" spans="2:16" x14ac:dyDescent="0.45">
      <c r="P107" s="4">
        <v>10</v>
      </c>
    </row>
    <row r="108" spans="2:16" x14ac:dyDescent="0.45">
      <c r="P108" s="4">
        <v>20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3.99</v>
      </c>
    </row>
    <row r="112" spans="2:16" x14ac:dyDescent="0.45">
      <c r="P112" s="4">
        <v>100</v>
      </c>
    </row>
    <row r="113" spans="5:16" x14ac:dyDescent="0.45">
      <c r="E113">
        <v>1400</v>
      </c>
      <c r="P113" s="4">
        <v>75</v>
      </c>
    </row>
    <row r="114" spans="5:16" x14ac:dyDescent="0.45">
      <c r="E114">
        <v>1300</v>
      </c>
      <c r="P114" s="4">
        <v>60</v>
      </c>
    </row>
    <row r="115" spans="5:16" x14ac:dyDescent="0.45">
      <c r="E115">
        <v>950</v>
      </c>
      <c r="P115" s="4"/>
    </row>
    <row r="116" spans="5:16" x14ac:dyDescent="0.45">
      <c r="P116" s="4">
        <v>70</v>
      </c>
    </row>
    <row r="119" spans="5:16" x14ac:dyDescent="0.45">
      <c r="E119">
        <f>SUM(E113:E117)</f>
        <v>3650</v>
      </c>
    </row>
    <row r="123" spans="5:16" x14ac:dyDescent="0.4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E35">
        <f>5.2+13.8+10.96+13+13+21+6.99+47+62+12+68+40</f>
        <v>312.95</v>
      </c>
    </row>
    <row r="38" spans="1:19" x14ac:dyDescent="0.4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7.149999999999999" x14ac:dyDescent="0.55000000000000004">
      <c r="E39" s="13" t="s">
        <v>196</v>
      </c>
      <c r="F39">
        <v>500</v>
      </c>
      <c r="I39" t="s">
        <v>209</v>
      </c>
      <c r="J39">
        <v>100</v>
      </c>
    </row>
    <row r="40" spans="1:19" ht="17.149999999999999" x14ac:dyDescent="0.55000000000000004">
      <c r="E40" s="13" t="s">
        <v>197</v>
      </c>
      <c r="F40">
        <v>800</v>
      </c>
      <c r="I40" t="s">
        <v>210</v>
      </c>
      <c r="J40">
        <v>21</v>
      </c>
    </row>
    <row r="41" spans="1:19" ht="17.149999999999999" x14ac:dyDescent="0.55000000000000004">
      <c r="E41" s="13" t="s">
        <v>198</v>
      </c>
      <c r="F41">
        <v>200</v>
      </c>
      <c r="I41" t="s">
        <v>211</v>
      </c>
      <c r="J41">
        <v>20</v>
      </c>
    </row>
    <row r="42" spans="1:19" ht="17.149999999999999" x14ac:dyDescent="0.55000000000000004">
      <c r="E42" s="13" t="s">
        <v>199</v>
      </c>
      <c r="F42">
        <v>2000</v>
      </c>
      <c r="I42" t="s">
        <v>212</v>
      </c>
      <c r="J42">
        <v>20</v>
      </c>
    </row>
    <row r="43" spans="1:19" ht="17.149999999999999" x14ac:dyDescent="0.55000000000000004">
      <c r="E43" s="13" t="s">
        <v>205</v>
      </c>
      <c r="F43">
        <v>500</v>
      </c>
      <c r="I43" t="s">
        <v>212</v>
      </c>
      <c r="J43">
        <v>27</v>
      </c>
    </row>
    <row r="44" spans="1:19" ht="17.149999999999999" x14ac:dyDescent="0.55000000000000004">
      <c r="E44" s="13" t="s">
        <v>200</v>
      </c>
      <c r="F44">
        <v>100</v>
      </c>
      <c r="I44" t="s">
        <v>213</v>
      </c>
      <c r="J44">
        <v>67</v>
      </c>
    </row>
    <row r="45" spans="1:19" ht="17.149999999999999" x14ac:dyDescent="0.55000000000000004">
      <c r="E45" s="13" t="s">
        <v>201</v>
      </c>
      <c r="F45">
        <v>67</v>
      </c>
      <c r="I45" t="s">
        <v>22</v>
      </c>
      <c r="J45">
        <v>28</v>
      </c>
    </row>
    <row r="46" spans="1:19" ht="17.149999999999999" x14ac:dyDescent="0.55000000000000004">
      <c r="E46" s="13" t="s">
        <v>202</v>
      </c>
      <c r="F46">
        <v>50</v>
      </c>
      <c r="I46" t="s">
        <v>215</v>
      </c>
      <c r="J46">
        <v>31</v>
      </c>
    </row>
    <row r="47" spans="1:19" ht="17.149999999999999" x14ac:dyDescent="0.55000000000000004">
      <c r="E47" s="13" t="s">
        <v>203</v>
      </c>
      <c r="F47">
        <v>70</v>
      </c>
      <c r="I47" t="s">
        <v>216</v>
      </c>
      <c r="J47">
        <v>32</v>
      </c>
    </row>
    <row r="48" spans="1:19" ht="17.149999999999999" x14ac:dyDescent="0.55000000000000004">
      <c r="E48" s="13" t="s">
        <v>204</v>
      </c>
      <c r="F48">
        <v>300</v>
      </c>
      <c r="I48" t="s">
        <v>217</v>
      </c>
      <c r="J48">
        <v>46</v>
      </c>
    </row>
    <row r="49" spans="2:10" ht="17.149999999999999" x14ac:dyDescent="0.55000000000000004">
      <c r="E49" s="13" t="s">
        <v>206</v>
      </c>
      <c r="F49">
        <v>100</v>
      </c>
      <c r="I49" t="s">
        <v>24</v>
      </c>
      <c r="J49">
        <v>20914</v>
      </c>
    </row>
    <row r="50" spans="2:10" x14ac:dyDescent="0.45">
      <c r="I50" t="s">
        <v>219</v>
      </c>
      <c r="J50">
        <v>357</v>
      </c>
    </row>
    <row r="51" spans="2:10" x14ac:dyDescent="0.45">
      <c r="J51">
        <v>300</v>
      </c>
    </row>
    <row r="53" spans="2:10" x14ac:dyDescent="0.45">
      <c r="F53">
        <f>SUM(F39:F49)</f>
        <v>4687</v>
      </c>
    </row>
    <row r="61" spans="2:10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E35">
        <f>5.2+13.8+10.96+13+13+21+6.99+47+62+12+68+40</f>
        <v>312.95</v>
      </c>
    </row>
    <row r="38" spans="1:19" x14ac:dyDescent="0.4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7.149999999999999" x14ac:dyDescent="0.55000000000000004">
      <c r="E39" s="13" t="s">
        <v>196</v>
      </c>
      <c r="F39">
        <v>500</v>
      </c>
      <c r="I39" t="s">
        <v>209</v>
      </c>
      <c r="J39">
        <v>100</v>
      </c>
    </row>
    <row r="40" spans="1:19" ht="17.149999999999999" x14ac:dyDescent="0.55000000000000004">
      <c r="E40" s="13" t="s">
        <v>197</v>
      </c>
      <c r="F40">
        <v>800</v>
      </c>
      <c r="I40" t="s">
        <v>210</v>
      </c>
      <c r="J40">
        <v>21</v>
      </c>
    </row>
    <row r="41" spans="1:19" ht="17.149999999999999" x14ac:dyDescent="0.55000000000000004">
      <c r="E41" s="13" t="s">
        <v>198</v>
      </c>
      <c r="F41">
        <v>200</v>
      </c>
      <c r="I41" t="s">
        <v>211</v>
      </c>
      <c r="J41">
        <v>20</v>
      </c>
    </row>
    <row r="42" spans="1:19" ht="17.149999999999999" x14ac:dyDescent="0.55000000000000004">
      <c r="E42" s="13" t="s">
        <v>199</v>
      </c>
      <c r="F42">
        <v>2000</v>
      </c>
      <c r="I42" t="s">
        <v>212</v>
      </c>
      <c r="J42">
        <v>20</v>
      </c>
    </row>
    <row r="43" spans="1:19" ht="17.149999999999999" x14ac:dyDescent="0.55000000000000004">
      <c r="E43" s="13" t="s">
        <v>205</v>
      </c>
      <c r="F43">
        <v>500</v>
      </c>
      <c r="I43" t="s">
        <v>212</v>
      </c>
      <c r="J43">
        <v>27</v>
      </c>
    </row>
    <row r="44" spans="1:19" ht="17.149999999999999" x14ac:dyDescent="0.55000000000000004">
      <c r="E44" s="13" t="s">
        <v>200</v>
      </c>
      <c r="F44">
        <v>100</v>
      </c>
      <c r="I44" t="s">
        <v>213</v>
      </c>
      <c r="J44">
        <v>67</v>
      </c>
    </row>
    <row r="45" spans="1:19" ht="17.149999999999999" x14ac:dyDescent="0.55000000000000004">
      <c r="E45" s="13" t="s">
        <v>201</v>
      </c>
      <c r="F45">
        <v>67</v>
      </c>
      <c r="I45" t="s">
        <v>22</v>
      </c>
      <c r="J45">
        <v>28</v>
      </c>
    </row>
    <row r="46" spans="1:19" ht="17.149999999999999" x14ac:dyDescent="0.55000000000000004">
      <c r="E46" s="13" t="s">
        <v>202</v>
      </c>
      <c r="F46">
        <v>50</v>
      </c>
      <c r="I46" t="s">
        <v>215</v>
      </c>
      <c r="J46">
        <v>31</v>
      </c>
    </row>
    <row r="47" spans="1:19" ht="17.149999999999999" x14ac:dyDescent="0.55000000000000004">
      <c r="E47" s="13" t="s">
        <v>203</v>
      </c>
      <c r="F47">
        <v>70</v>
      </c>
      <c r="I47" t="s">
        <v>216</v>
      </c>
      <c r="J47">
        <v>32</v>
      </c>
    </row>
    <row r="48" spans="1:19" ht="17.149999999999999" x14ac:dyDescent="0.55000000000000004">
      <c r="E48" s="13" t="s">
        <v>204</v>
      </c>
      <c r="F48">
        <v>300</v>
      </c>
      <c r="I48" t="s">
        <v>217</v>
      </c>
      <c r="J48">
        <v>46</v>
      </c>
    </row>
    <row r="49" spans="2:10" ht="17.149999999999999" x14ac:dyDescent="0.55000000000000004">
      <c r="E49" s="13" t="s">
        <v>206</v>
      </c>
      <c r="F49">
        <v>100</v>
      </c>
      <c r="I49" t="s">
        <v>24</v>
      </c>
      <c r="J49">
        <v>20914</v>
      </c>
    </row>
    <row r="50" spans="2:10" x14ac:dyDescent="0.45">
      <c r="I50" t="s">
        <v>219</v>
      </c>
      <c r="J50">
        <v>357</v>
      </c>
    </row>
    <row r="51" spans="2:10" x14ac:dyDescent="0.45">
      <c r="J51">
        <v>300</v>
      </c>
    </row>
    <row r="53" spans="2:10" x14ac:dyDescent="0.45">
      <c r="F53">
        <f>SUM(F39:F49)</f>
        <v>4687</v>
      </c>
    </row>
    <row r="61" spans="2:10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E35">
        <f>5.2+13.8+10.96+13+13+21+6.99+47+62+12+68+40</f>
        <v>312.95</v>
      </c>
    </row>
    <row r="38" spans="1:19" x14ac:dyDescent="0.4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7.149999999999999" x14ac:dyDescent="0.55000000000000004">
      <c r="E39" s="13" t="s">
        <v>196</v>
      </c>
      <c r="F39">
        <v>500</v>
      </c>
      <c r="I39" t="s">
        <v>209</v>
      </c>
      <c r="J39">
        <v>100</v>
      </c>
    </row>
    <row r="40" spans="1:19" ht="17.149999999999999" x14ac:dyDescent="0.55000000000000004">
      <c r="E40" s="13" t="s">
        <v>197</v>
      </c>
      <c r="F40">
        <v>800</v>
      </c>
      <c r="I40" t="s">
        <v>210</v>
      </c>
      <c r="J40">
        <v>21</v>
      </c>
    </row>
    <row r="41" spans="1:19" ht="17.149999999999999" x14ac:dyDescent="0.55000000000000004">
      <c r="E41" s="13" t="s">
        <v>198</v>
      </c>
      <c r="F41">
        <v>200</v>
      </c>
      <c r="I41" t="s">
        <v>211</v>
      </c>
      <c r="J41">
        <v>20</v>
      </c>
    </row>
    <row r="42" spans="1:19" ht="17.149999999999999" x14ac:dyDescent="0.55000000000000004">
      <c r="E42" s="13" t="s">
        <v>199</v>
      </c>
      <c r="F42">
        <v>2000</v>
      </c>
      <c r="I42" t="s">
        <v>212</v>
      </c>
      <c r="J42">
        <v>20</v>
      </c>
    </row>
    <row r="43" spans="1:19" ht="17.149999999999999" x14ac:dyDescent="0.55000000000000004">
      <c r="E43" s="13" t="s">
        <v>205</v>
      </c>
      <c r="F43">
        <v>500</v>
      </c>
      <c r="I43" t="s">
        <v>212</v>
      </c>
      <c r="J43">
        <v>27</v>
      </c>
    </row>
    <row r="44" spans="1:19" ht="17.149999999999999" x14ac:dyDescent="0.55000000000000004">
      <c r="E44" s="13" t="s">
        <v>200</v>
      </c>
      <c r="F44">
        <v>100</v>
      </c>
      <c r="I44" t="s">
        <v>213</v>
      </c>
      <c r="J44">
        <v>67</v>
      </c>
    </row>
    <row r="45" spans="1:19" ht="17.149999999999999" x14ac:dyDescent="0.55000000000000004">
      <c r="E45" s="13" t="s">
        <v>201</v>
      </c>
      <c r="F45">
        <v>67</v>
      </c>
      <c r="I45" t="s">
        <v>22</v>
      </c>
      <c r="J45">
        <v>28</v>
      </c>
    </row>
    <row r="46" spans="1:19" ht="17.149999999999999" x14ac:dyDescent="0.55000000000000004">
      <c r="E46" s="13" t="s">
        <v>202</v>
      </c>
      <c r="F46">
        <v>50</v>
      </c>
      <c r="I46" t="s">
        <v>215</v>
      </c>
      <c r="J46">
        <v>31</v>
      </c>
    </row>
    <row r="47" spans="1:19" ht="17.149999999999999" x14ac:dyDescent="0.55000000000000004">
      <c r="E47" s="13" t="s">
        <v>203</v>
      </c>
      <c r="F47">
        <v>70</v>
      </c>
      <c r="I47" t="s">
        <v>216</v>
      </c>
      <c r="J47">
        <v>32</v>
      </c>
    </row>
    <row r="48" spans="1:19" ht="17.149999999999999" x14ac:dyDescent="0.55000000000000004">
      <c r="E48" s="13" t="s">
        <v>204</v>
      </c>
      <c r="F48">
        <v>300</v>
      </c>
      <c r="I48" t="s">
        <v>217</v>
      </c>
      <c r="J48">
        <v>46</v>
      </c>
    </row>
    <row r="49" spans="2:10" ht="17.149999999999999" x14ac:dyDescent="0.55000000000000004">
      <c r="E49" s="13" t="s">
        <v>206</v>
      </c>
      <c r="F49">
        <v>100</v>
      </c>
      <c r="I49" t="s">
        <v>24</v>
      </c>
      <c r="J49">
        <v>20914</v>
      </c>
    </row>
    <row r="50" spans="2:10" x14ac:dyDescent="0.45">
      <c r="I50" t="s">
        <v>219</v>
      </c>
      <c r="J50">
        <v>357</v>
      </c>
    </row>
    <row r="51" spans="2:10" x14ac:dyDescent="0.45">
      <c r="J51">
        <v>300</v>
      </c>
    </row>
    <row r="53" spans="2:10" x14ac:dyDescent="0.45">
      <c r="F53">
        <f>SUM(F39:F49)</f>
        <v>4687</v>
      </c>
    </row>
    <row r="61" spans="2:10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E35">
        <f>5.2+13.8+10.96+13+13+21+6.99+47+62+12+68+40</f>
        <v>312.95</v>
      </c>
    </row>
    <row r="38" spans="1:19" x14ac:dyDescent="0.4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7.149999999999999" x14ac:dyDescent="0.55000000000000004">
      <c r="E39" s="13" t="s">
        <v>196</v>
      </c>
      <c r="F39">
        <v>500</v>
      </c>
      <c r="I39" t="s">
        <v>209</v>
      </c>
      <c r="J39">
        <v>100</v>
      </c>
    </row>
    <row r="40" spans="1:19" ht="17.149999999999999" x14ac:dyDescent="0.55000000000000004">
      <c r="E40" s="13" t="s">
        <v>197</v>
      </c>
      <c r="F40">
        <v>800</v>
      </c>
      <c r="I40" t="s">
        <v>210</v>
      </c>
      <c r="J40">
        <v>21</v>
      </c>
    </row>
    <row r="41" spans="1:19" ht="17.149999999999999" x14ac:dyDescent="0.55000000000000004">
      <c r="E41" s="13" t="s">
        <v>198</v>
      </c>
      <c r="F41">
        <v>200</v>
      </c>
      <c r="I41" t="s">
        <v>211</v>
      </c>
      <c r="J41">
        <v>20</v>
      </c>
    </row>
    <row r="42" spans="1:19" ht="17.149999999999999" x14ac:dyDescent="0.55000000000000004">
      <c r="E42" s="13" t="s">
        <v>199</v>
      </c>
      <c r="F42">
        <v>2000</v>
      </c>
      <c r="I42" t="s">
        <v>212</v>
      </c>
      <c r="J42">
        <v>20</v>
      </c>
    </row>
    <row r="43" spans="1:19" ht="17.149999999999999" x14ac:dyDescent="0.55000000000000004">
      <c r="E43" s="13" t="s">
        <v>205</v>
      </c>
      <c r="F43">
        <v>500</v>
      </c>
      <c r="I43" t="s">
        <v>212</v>
      </c>
      <c r="J43">
        <v>27</v>
      </c>
    </row>
    <row r="44" spans="1:19" ht="17.149999999999999" x14ac:dyDescent="0.55000000000000004">
      <c r="E44" s="13" t="s">
        <v>200</v>
      </c>
      <c r="F44">
        <v>100</v>
      </c>
      <c r="I44" t="s">
        <v>213</v>
      </c>
      <c r="J44">
        <v>67</v>
      </c>
    </row>
    <row r="45" spans="1:19" ht="17.149999999999999" x14ac:dyDescent="0.55000000000000004">
      <c r="E45" s="13" t="s">
        <v>201</v>
      </c>
      <c r="F45">
        <v>67</v>
      </c>
      <c r="I45" t="s">
        <v>22</v>
      </c>
      <c r="J45">
        <v>28</v>
      </c>
    </row>
    <row r="46" spans="1:19" ht="17.149999999999999" x14ac:dyDescent="0.55000000000000004">
      <c r="E46" s="13" t="s">
        <v>202</v>
      </c>
      <c r="F46">
        <v>50</v>
      </c>
      <c r="I46" t="s">
        <v>215</v>
      </c>
      <c r="J46">
        <v>31</v>
      </c>
    </row>
    <row r="47" spans="1:19" ht="17.149999999999999" x14ac:dyDescent="0.55000000000000004">
      <c r="E47" s="13" t="s">
        <v>203</v>
      </c>
      <c r="F47">
        <v>70</v>
      </c>
      <c r="I47" t="s">
        <v>216</v>
      </c>
      <c r="J47">
        <v>32</v>
      </c>
    </row>
    <row r="48" spans="1:19" ht="17.149999999999999" x14ac:dyDescent="0.55000000000000004">
      <c r="E48" s="13" t="s">
        <v>204</v>
      </c>
      <c r="F48">
        <v>300</v>
      </c>
      <c r="I48" t="s">
        <v>217</v>
      </c>
      <c r="J48">
        <v>46</v>
      </c>
    </row>
    <row r="49" spans="2:10" ht="17.149999999999999" x14ac:dyDescent="0.55000000000000004">
      <c r="E49" s="13" t="s">
        <v>206</v>
      </c>
      <c r="F49">
        <v>100</v>
      </c>
      <c r="I49" t="s">
        <v>24</v>
      </c>
      <c r="J49">
        <v>20914</v>
      </c>
    </row>
    <row r="50" spans="2:10" x14ac:dyDescent="0.45">
      <c r="I50" t="s">
        <v>219</v>
      </c>
      <c r="J50">
        <v>357</v>
      </c>
    </row>
    <row r="51" spans="2:10" x14ac:dyDescent="0.45">
      <c r="J51">
        <v>300</v>
      </c>
    </row>
    <row r="53" spans="2:10" x14ac:dyDescent="0.45">
      <c r="F53">
        <f>SUM(F39:F49)</f>
        <v>4687</v>
      </c>
    </row>
    <row r="61" spans="2:10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4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4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4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4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E35">
        <f>5.2+13.8+10.96+13+13+21+6.99+47+62+12+68+40</f>
        <v>312.95</v>
      </c>
    </row>
    <row r="38" spans="1:19" x14ac:dyDescent="0.4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7.149999999999999" x14ac:dyDescent="0.55000000000000004">
      <c r="E39" s="13" t="s">
        <v>196</v>
      </c>
      <c r="F39">
        <v>500</v>
      </c>
      <c r="I39" t="s">
        <v>209</v>
      </c>
      <c r="J39">
        <v>100</v>
      </c>
    </row>
    <row r="40" spans="1:19" ht="17.149999999999999" x14ac:dyDescent="0.55000000000000004">
      <c r="E40" s="13" t="s">
        <v>197</v>
      </c>
      <c r="F40">
        <v>800</v>
      </c>
      <c r="I40" t="s">
        <v>210</v>
      </c>
      <c r="J40">
        <v>21</v>
      </c>
    </row>
    <row r="41" spans="1:19" ht="17.149999999999999" x14ac:dyDescent="0.55000000000000004">
      <c r="E41" s="13" t="s">
        <v>198</v>
      </c>
      <c r="F41">
        <v>200</v>
      </c>
      <c r="I41" t="s">
        <v>211</v>
      </c>
      <c r="J41">
        <v>20</v>
      </c>
    </row>
    <row r="42" spans="1:19" ht="17.149999999999999" x14ac:dyDescent="0.55000000000000004">
      <c r="E42" s="13" t="s">
        <v>199</v>
      </c>
      <c r="F42">
        <v>2000</v>
      </c>
      <c r="I42" t="s">
        <v>212</v>
      </c>
      <c r="J42">
        <v>20</v>
      </c>
    </row>
    <row r="43" spans="1:19" ht="17.149999999999999" x14ac:dyDescent="0.55000000000000004">
      <c r="E43" s="13" t="s">
        <v>205</v>
      </c>
      <c r="F43">
        <v>500</v>
      </c>
      <c r="I43" t="s">
        <v>212</v>
      </c>
      <c r="J43">
        <v>27</v>
      </c>
    </row>
    <row r="44" spans="1:19" ht="17.149999999999999" x14ac:dyDescent="0.55000000000000004">
      <c r="E44" s="13" t="s">
        <v>200</v>
      </c>
      <c r="F44">
        <v>100</v>
      </c>
      <c r="I44" t="s">
        <v>213</v>
      </c>
      <c r="J44">
        <v>67</v>
      </c>
    </row>
    <row r="45" spans="1:19" ht="17.149999999999999" x14ac:dyDescent="0.55000000000000004">
      <c r="E45" s="13" t="s">
        <v>201</v>
      </c>
      <c r="F45">
        <v>67</v>
      </c>
      <c r="I45" t="s">
        <v>22</v>
      </c>
      <c r="J45">
        <v>28</v>
      </c>
    </row>
    <row r="46" spans="1:19" ht="17.149999999999999" x14ac:dyDescent="0.55000000000000004">
      <c r="E46" s="13" t="s">
        <v>202</v>
      </c>
      <c r="F46">
        <v>50</v>
      </c>
      <c r="I46" t="s">
        <v>215</v>
      </c>
      <c r="J46">
        <v>31</v>
      </c>
    </row>
    <row r="47" spans="1:19" ht="17.149999999999999" x14ac:dyDescent="0.55000000000000004">
      <c r="E47" s="13" t="s">
        <v>203</v>
      </c>
      <c r="F47">
        <v>70</v>
      </c>
      <c r="I47" t="s">
        <v>216</v>
      </c>
      <c r="J47">
        <v>32</v>
      </c>
    </row>
    <row r="48" spans="1:19" ht="17.149999999999999" x14ac:dyDescent="0.55000000000000004">
      <c r="E48" s="13" t="s">
        <v>204</v>
      </c>
      <c r="F48">
        <v>300</v>
      </c>
      <c r="I48" t="s">
        <v>217</v>
      </c>
      <c r="J48">
        <v>46</v>
      </c>
    </row>
    <row r="49" spans="2:10" ht="17.149999999999999" x14ac:dyDescent="0.55000000000000004">
      <c r="E49" s="13" t="s">
        <v>206</v>
      </c>
      <c r="F49">
        <v>100</v>
      </c>
      <c r="I49" t="s">
        <v>24</v>
      </c>
      <c r="J49">
        <v>20914</v>
      </c>
    </row>
    <row r="50" spans="2:10" x14ac:dyDescent="0.45">
      <c r="I50" t="s">
        <v>219</v>
      </c>
      <c r="J50">
        <v>357</v>
      </c>
    </row>
    <row r="51" spans="2:10" x14ac:dyDescent="0.45">
      <c r="J51">
        <v>300</v>
      </c>
    </row>
    <row r="53" spans="2:10" x14ac:dyDescent="0.45">
      <c r="F53">
        <f>SUM(F39:F49)</f>
        <v>4687</v>
      </c>
    </row>
    <row r="61" spans="2:10" x14ac:dyDescent="0.45">
      <c r="B61" s="7" t="s">
        <v>2</v>
      </c>
      <c r="C61" s="4">
        <v>1900</v>
      </c>
    </row>
    <row r="97" spans="2:16" x14ac:dyDescent="0.45">
      <c r="B97">
        <v>3000</v>
      </c>
    </row>
    <row r="98" spans="2:16" x14ac:dyDescent="0.45">
      <c r="B98">
        <v>2500</v>
      </c>
      <c r="J98">
        <v>3000</v>
      </c>
    </row>
    <row r="99" spans="2:16" x14ac:dyDescent="0.45">
      <c r="B99">
        <v>2500</v>
      </c>
      <c r="J99">
        <v>600</v>
      </c>
    </row>
    <row r="100" spans="2:16" x14ac:dyDescent="0.45">
      <c r="B100">
        <v>800</v>
      </c>
    </row>
    <row r="101" spans="2:16" x14ac:dyDescent="0.45">
      <c r="B101">
        <v>700</v>
      </c>
    </row>
    <row r="105" spans="2:16" x14ac:dyDescent="0.45">
      <c r="B105">
        <f>SUM(B97:B101)</f>
        <v>9500</v>
      </c>
      <c r="D105">
        <f>B105-7000</f>
        <v>2500</v>
      </c>
    </row>
    <row r="106" spans="2:16" x14ac:dyDescent="0.45">
      <c r="P106">
        <v>126</v>
      </c>
    </row>
    <row r="107" spans="2:16" x14ac:dyDescent="0.45">
      <c r="P107" s="4">
        <v>12</v>
      </c>
    </row>
    <row r="108" spans="2:16" x14ac:dyDescent="0.45">
      <c r="P108" s="4">
        <v>10</v>
      </c>
    </row>
    <row r="109" spans="2:16" x14ac:dyDescent="0.45">
      <c r="P109" s="4">
        <v>20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3.99</v>
      </c>
    </row>
    <row r="113" spans="5:16" x14ac:dyDescent="0.45">
      <c r="P113" s="4">
        <v>100</v>
      </c>
    </row>
    <row r="114" spans="5:16" x14ac:dyDescent="0.45">
      <c r="E114">
        <v>1400</v>
      </c>
      <c r="P114" s="4">
        <v>75</v>
      </c>
    </row>
    <row r="115" spans="5:16" x14ac:dyDescent="0.45">
      <c r="E115">
        <v>1300</v>
      </c>
      <c r="P115" s="4">
        <v>60</v>
      </c>
    </row>
    <row r="116" spans="5:16" x14ac:dyDescent="0.45">
      <c r="E116">
        <v>950</v>
      </c>
      <c r="P116" s="4"/>
    </row>
    <row r="117" spans="5:16" x14ac:dyDescent="0.45">
      <c r="P117" s="4">
        <v>70</v>
      </c>
    </row>
    <row r="120" spans="5:16" x14ac:dyDescent="0.45">
      <c r="E120">
        <f>SUM(E114:E118)</f>
        <v>3650</v>
      </c>
    </row>
    <row r="124" spans="5:16" x14ac:dyDescent="0.4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4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4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45">
      <c r="E36">
        <f>5.2+13.8+10.96+13+13+21+6.99+47+62+12+68+40</f>
        <v>312.95</v>
      </c>
    </row>
    <row r="39" spans="1:19" x14ac:dyDescent="0.4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7.149999999999999" x14ac:dyDescent="0.55000000000000004">
      <c r="E40" s="13" t="s">
        <v>196</v>
      </c>
      <c r="F40">
        <v>500</v>
      </c>
      <c r="I40" t="s">
        <v>209</v>
      </c>
      <c r="J40">
        <v>100</v>
      </c>
    </row>
    <row r="41" spans="1:19" ht="17.149999999999999" x14ac:dyDescent="0.55000000000000004">
      <c r="E41" s="13" t="s">
        <v>197</v>
      </c>
      <c r="F41">
        <v>800</v>
      </c>
      <c r="I41" t="s">
        <v>210</v>
      </c>
      <c r="J41">
        <v>21</v>
      </c>
    </row>
    <row r="42" spans="1:19" ht="17.149999999999999" x14ac:dyDescent="0.55000000000000004">
      <c r="E42" s="13" t="s">
        <v>198</v>
      </c>
      <c r="F42">
        <v>200</v>
      </c>
      <c r="I42" t="s">
        <v>211</v>
      </c>
      <c r="J42">
        <v>20</v>
      </c>
    </row>
    <row r="43" spans="1:19" ht="17.149999999999999" x14ac:dyDescent="0.55000000000000004">
      <c r="E43" s="13" t="s">
        <v>199</v>
      </c>
      <c r="F43">
        <v>2000</v>
      </c>
      <c r="I43" t="s">
        <v>212</v>
      </c>
      <c r="J43">
        <v>20</v>
      </c>
    </row>
    <row r="44" spans="1:19" ht="17.149999999999999" x14ac:dyDescent="0.55000000000000004">
      <c r="E44" s="13" t="s">
        <v>205</v>
      </c>
      <c r="F44">
        <v>500</v>
      </c>
      <c r="I44" t="s">
        <v>212</v>
      </c>
      <c r="J44">
        <v>27</v>
      </c>
    </row>
    <row r="45" spans="1:19" ht="17.149999999999999" x14ac:dyDescent="0.55000000000000004">
      <c r="E45" s="13" t="s">
        <v>200</v>
      </c>
      <c r="F45">
        <v>100</v>
      </c>
      <c r="I45" t="s">
        <v>213</v>
      </c>
      <c r="J45">
        <v>67</v>
      </c>
    </row>
    <row r="46" spans="1:19" ht="17.149999999999999" x14ac:dyDescent="0.55000000000000004">
      <c r="E46" s="13" t="s">
        <v>201</v>
      </c>
      <c r="F46">
        <v>67</v>
      </c>
      <c r="I46" t="s">
        <v>22</v>
      </c>
      <c r="J46">
        <v>28</v>
      </c>
    </row>
    <row r="47" spans="1:19" ht="17.149999999999999" x14ac:dyDescent="0.55000000000000004">
      <c r="E47" s="13" t="s">
        <v>202</v>
      </c>
      <c r="F47">
        <v>50</v>
      </c>
      <c r="I47" t="s">
        <v>215</v>
      </c>
      <c r="J47">
        <v>31</v>
      </c>
    </row>
    <row r="48" spans="1:19" ht="17.149999999999999" x14ac:dyDescent="0.55000000000000004">
      <c r="E48" s="13" t="s">
        <v>203</v>
      </c>
      <c r="F48">
        <v>70</v>
      </c>
      <c r="I48" t="s">
        <v>216</v>
      </c>
      <c r="J48">
        <v>32</v>
      </c>
    </row>
    <row r="49" spans="2:10" ht="17.149999999999999" x14ac:dyDescent="0.55000000000000004">
      <c r="E49" s="13" t="s">
        <v>204</v>
      </c>
      <c r="F49">
        <v>300</v>
      </c>
      <c r="I49" t="s">
        <v>217</v>
      </c>
      <c r="J49">
        <v>46</v>
      </c>
    </row>
    <row r="50" spans="2:10" ht="17.149999999999999" x14ac:dyDescent="0.55000000000000004">
      <c r="E50" s="13" t="s">
        <v>206</v>
      </c>
      <c r="F50">
        <v>100</v>
      </c>
      <c r="I50" t="s">
        <v>24</v>
      </c>
      <c r="J50">
        <v>20914</v>
      </c>
    </row>
    <row r="51" spans="2:10" x14ac:dyDescent="0.45">
      <c r="I51" t="s">
        <v>219</v>
      </c>
      <c r="J51">
        <v>357</v>
      </c>
    </row>
    <row r="52" spans="2:10" x14ac:dyDescent="0.45">
      <c r="J52">
        <v>300</v>
      </c>
    </row>
    <row r="54" spans="2:10" x14ac:dyDescent="0.45">
      <c r="F54">
        <f>SUM(F40:F50)</f>
        <v>4687</v>
      </c>
    </row>
    <row r="62" spans="2:10" x14ac:dyDescent="0.45">
      <c r="B62" s="7" t="s">
        <v>2</v>
      </c>
      <c r="C62" s="4">
        <v>1900</v>
      </c>
    </row>
    <row r="98" spans="2:16" x14ac:dyDescent="0.45">
      <c r="B98">
        <v>3000</v>
      </c>
    </row>
    <row r="99" spans="2:16" x14ac:dyDescent="0.45">
      <c r="B99">
        <v>2500</v>
      </c>
      <c r="J99">
        <v>3000</v>
      </c>
    </row>
    <row r="100" spans="2:16" x14ac:dyDescent="0.45">
      <c r="B100">
        <v>2500</v>
      </c>
      <c r="J100">
        <v>600</v>
      </c>
    </row>
    <row r="101" spans="2:16" x14ac:dyDescent="0.45">
      <c r="B101">
        <v>800</v>
      </c>
    </row>
    <row r="102" spans="2:16" x14ac:dyDescent="0.45">
      <c r="B102">
        <v>700</v>
      </c>
    </row>
    <row r="106" spans="2:16" x14ac:dyDescent="0.45">
      <c r="B106">
        <f>SUM(B98:B102)</f>
        <v>9500</v>
      </c>
      <c r="D106">
        <f>B106-7000</f>
        <v>2500</v>
      </c>
    </row>
    <row r="107" spans="2:16" x14ac:dyDescent="0.45">
      <c r="P107">
        <v>126</v>
      </c>
    </row>
    <row r="108" spans="2:16" x14ac:dyDescent="0.45">
      <c r="P108" s="4">
        <v>12</v>
      </c>
    </row>
    <row r="109" spans="2:16" x14ac:dyDescent="0.45">
      <c r="P109" s="4">
        <v>10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20</v>
      </c>
    </row>
    <row r="113" spans="5:16" x14ac:dyDescent="0.45">
      <c r="P113" s="4">
        <v>3.99</v>
      </c>
    </row>
    <row r="114" spans="5:16" x14ac:dyDescent="0.45">
      <c r="P114" s="4">
        <v>100</v>
      </c>
    </row>
    <row r="115" spans="5:16" x14ac:dyDescent="0.45">
      <c r="E115">
        <v>1400</v>
      </c>
      <c r="P115" s="4">
        <v>75</v>
      </c>
    </row>
    <row r="116" spans="5:16" x14ac:dyDescent="0.45">
      <c r="E116">
        <v>1300</v>
      </c>
      <c r="P116" s="4">
        <v>60</v>
      </c>
    </row>
    <row r="117" spans="5:16" x14ac:dyDescent="0.45">
      <c r="E117">
        <v>950</v>
      </c>
      <c r="P117" s="4"/>
    </row>
    <row r="118" spans="5:16" x14ac:dyDescent="0.45">
      <c r="P118" s="4">
        <v>70</v>
      </c>
    </row>
    <row r="121" spans="5:16" x14ac:dyDescent="0.45">
      <c r="E121">
        <f>SUM(E115:E119)</f>
        <v>3650</v>
      </c>
    </row>
    <row r="125" spans="5:16" x14ac:dyDescent="0.4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4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4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45">
      <c r="E36">
        <f>5.2+13.8+10.96+13+13+21+6.99+47+62+12+68+40</f>
        <v>312.95</v>
      </c>
    </row>
    <row r="39" spans="1:19" x14ac:dyDescent="0.4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7.149999999999999" x14ac:dyDescent="0.55000000000000004">
      <c r="E40" s="13" t="s">
        <v>196</v>
      </c>
      <c r="F40">
        <v>500</v>
      </c>
      <c r="I40" t="s">
        <v>209</v>
      </c>
      <c r="J40">
        <v>100</v>
      </c>
    </row>
    <row r="41" spans="1:19" ht="17.149999999999999" x14ac:dyDescent="0.55000000000000004">
      <c r="E41" s="13" t="s">
        <v>197</v>
      </c>
      <c r="F41">
        <v>800</v>
      </c>
      <c r="I41" t="s">
        <v>210</v>
      </c>
      <c r="J41">
        <v>21</v>
      </c>
    </row>
    <row r="42" spans="1:19" ht="17.149999999999999" x14ac:dyDescent="0.55000000000000004">
      <c r="E42" s="13" t="s">
        <v>198</v>
      </c>
      <c r="F42">
        <v>200</v>
      </c>
      <c r="I42" t="s">
        <v>211</v>
      </c>
      <c r="J42">
        <v>20</v>
      </c>
    </row>
    <row r="43" spans="1:19" ht="17.149999999999999" x14ac:dyDescent="0.55000000000000004">
      <c r="E43" s="13" t="s">
        <v>199</v>
      </c>
      <c r="F43">
        <v>2000</v>
      </c>
      <c r="I43" t="s">
        <v>212</v>
      </c>
      <c r="J43">
        <v>20</v>
      </c>
    </row>
    <row r="44" spans="1:19" ht="17.149999999999999" x14ac:dyDescent="0.55000000000000004">
      <c r="E44" s="13" t="s">
        <v>205</v>
      </c>
      <c r="F44">
        <v>500</v>
      </c>
      <c r="I44" t="s">
        <v>212</v>
      </c>
      <c r="J44">
        <v>27</v>
      </c>
    </row>
    <row r="45" spans="1:19" ht="17.149999999999999" x14ac:dyDescent="0.55000000000000004">
      <c r="E45" s="13" t="s">
        <v>200</v>
      </c>
      <c r="F45">
        <v>100</v>
      </c>
      <c r="I45" t="s">
        <v>213</v>
      </c>
      <c r="J45">
        <v>67</v>
      </c>
    </row>
    <row r="46" spans="1:19" ht="17.149999999999999" x14ac:dyDescent="0.55000000000000004">
      <c r="E46" s="13" t="s">
        <v>201</v>
      </c>
      <c r="F46">
        <v>67</v>
      </c>
      <c r="I46" t="s">
        <v>22</v>
      </c>
      <c r="J46">
        <v>28</v>
      </c>
    </row>
    <row r="47" spans="1:19" ht="17.149999999999999" x14ac:dyDescent="0.55000000000000004">
      <c r="E47" s="13" t="s">
        <v>202</v>
      </c>
      <c r="F47">
        <v>50</v>
      </c>
      <c r="I47" t="s">
        <v>215</v>
      </c>
      <c r="J47">
        <v>31</v>
      </c>
    </row>
    <row r="48" spans="1:19" ht="17.149999999999999" x14ac:dyDescent="0.55000000000000004">
      <c r="E48" s="13" t="s">
        <v>203</v>
      </c>
      <c r="F48">
        <v>70</v>
      </c>
      <c r="I48" t="s">
        <v>216</v>
      </c>
      <c r="J48">
        <v>32</v>
      </c>
    </row>
    <row r="49" spans="2:10" ht="17.149999999999999" x14ac:dyDescent="0.55000000000000004">
      <c r="E49" s="13" t="s">
        <v>204</v>
      </c>
      <c r="F49">
        <v>300</v>
      </c>
      <c r="I49" t="s">
        <v>217</v>
      </c>
      <c r="J49">
        <v>46</v>
      </c>
    </row>
    <row r="50" spans="2:10" ht="17.149999999999999" x14ac:dyDescent="0.55000000000000004">
      <c r="E50" s="13" t="s">
        <v>206</v>
      </c>
      <c r="F50">
        <v>100</v>
      </c>
      <c r="I50" t="s">
        <v>24</v>
      </c>
      <c r="J50">
        <v>20914</v>
      </c>
    </row>
    <row r="51" spans="2:10" x14ac:dyDescent="0.45">
      <c r="I51" t="s">
        <v>219</v>
      </c>
      <c r="J51">
        <v>357</v>
      </c>
    </row>
    <row r="52" spans="2:10" x14ac:dyDescent="0.45">
      <c r="J52">
        <v>300</v>
      </c>
    </row>
    <row r="54" spans="2:10" x14ac:dyDescent="0.45">
      <c r="F54">
        <f>SUM(F40:F50)</f>
        <v>4687</v>
      </c>
    </row>
    <row r="62" spans="2:10" x14ac:dyDescent="0.45">
      <c r="B62" s="7" t="s">
        <v>2</v>
      </c>
      <c r="C62" s="4">
        <v>1900</v>
      </c>
    </row>
    <row r="98" spans="2:16" x14ac:dyDescent="0.45">
      <c r="B98">
        <v>3000</v>
      </c>
    </row>
    <row r="99" spans="2:16" x14ac:dyDescent="0.45">
      <c r="B99">
        <v>2500</v>
      </c>
      <c r="J99">
        <v>3000</v>
      </c>
    </row>
    <row r="100" spans="2:16" x14ac:dyDescent="0.45">
      <c r="B100">
        <v>2500</v>
      </c>
      <c r="J100">
        <v>600</v>
      </c>
    </row>
    <row r="101" spans="2:16" x14ac:dyDescent="0.45">
      <c r="B101">
        <v>800</v>
      </c>
    </row>
    <row r="102" spans="2:16" x14ac:dyDescent="0.45">
      <c r="B102">
        <v>700</v>
      </c>
    </row>
    <row r="106" spans="2:16" x14ac:dyDescent="0.45">
      <c r="B106">
        <f>SUM(B98:B102)</f>
        <v>9500</v>
      </c>
      <c r="D106">
        <f>B106-7000</f>
        <v>2500</v>
      </c>
    </row>
    <row r="107" spans="2:16" x14ac:dyDescent="0.45">
      <c r="P107">
        <v>126</v>
      </c>
    </row>
    <row r="108" spans="2:16" x14ac:dyDescent="0.45">
      <c r="P108" s="4">
        <v>12</v>
      </c>
    </row>
    <row r="109" spans="2:16" x14ac:dyDescent="0.45">
      <c r="P109" s="4">
        <v>10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20</v>
      </c>
    </row>
    <row r="113" spans="5:16" x14ac:dyDescent="0.45">
      <c r="P113" s="4">
        <v>3.99</v>
      </c>
    </row>
    <row r="114" spans="5:16" x14ac:dyDescent="0.45">
      <c r="P114" s="4">
        <v>100</v>
      </c>
    </row>
    <row r="115" spans="5:16" x14ac:dyDescent="0.45">
      <c r="E115">
        <v>1400</v>
      </c>
      <c r="P115" s="4">
        <v>75</v>
      </c>
    </row>
    <row r="116" spans="5:16" x14ac:dyDescent="0.45">
      <c r="E116">
        <v>1300</v>
      </c>
      <c r="P116" s="4">
        <v>60</v>
      </c>
    </row>
    <row r="117" spans="5:16" x14ac:dyDescent="0.45">
      <c r="E117">
        <v>950</v>
      </c>
      <c r="P117" s="4"/>
    </row>
    <row r="118" spans="5:16" x14ac:dyDescent="0.45">
      <c r="P118" s="4">
        <v>70</v>
      </c>
    </row>
    <row r="121" spans="5:16" x14ac:dyDescent="0.45">
      <c r="E121">
        <f>SUM(E115:E119)</f>
        <v>3650</v>
      </c>
    </row>
    <row r="125" spans="5:16" x14ac:dyDescent="0.4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4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4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45">
      <c r="E36">
        <f>5.2+13.8+10.96+13+13+21+6.99+47+62+12+68+40</f>
        <v>312.95</v>
      </c>
    </row>
    <row r="39" spans="1:19" x14ac:dyDescent="0.4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7.149999999999999" x14ac:dyDescent="0.55000000000000004">
      <c r="E40" s="13" t="s">
        <v>196</v>
      </c>
      <c r="F40">
        <v>500</v>
      </c>
      <c r="I40" t="s">
        <v>209</v>
      </c>
      <c r="J40">
        <v>100</v>
      </c>
    </row>
    <row r="41" spans="1:19" ht="17.149999999999999" x14ac:dyDescent="0.55000000000000004">
      <c r="E41" s="13" t="s">
        <v>197</v>
      </c>
      <c r="F41">
        <v>800</v>
      </c>
      <c r="I41" t="s">
        <v>210</v>
      </c>
      <c r="J41">
        <v>21</v>
      </c>
    </row>
    <row r="42" spans="1:19" ht="17.149999999999999" x14ac:dyDescent="0.55000000000000004">
      <c r="E42" s="13" t="s">
        <v>198</v>
      </c>
      <c r="F42">
        <v>200</v>
      </c>
      <c r="I42" t="s">
        <v>211</v>
      </c>
      <c r="J42">
        <v>20</v>
      </c>
    </row>
    <row r="43" spans="1:19" ht="17.149999999999999" x14ac:dyDescent="0.55000000000000004">
      <c r="E43" s="13" t="s">
        <v>199</v>
      </c>
      <c r="F43">
        <v>2000</v>
      </c>
      <c r="I43" t="s">
        <v>212</v>
      </c>
      <c r="J43">
        <v>20</v>
      </c>
    </row>
    <row r="44" spans="1:19" ht="17.149999999999999" x14ac:dyDescent="0.55000000000000004">
      <c r="E44" s="13" t="s">
        <v>205</v>
      </c>
      <c r="F44">
        <v>500</v>
      </c>
      <c r="I44" t="s">
        <v>212</v>
      </c>
      <c r="J44">
        <v>27</v>
      </c>
    </row>
    <row r="45" spans="1:19" ht="17.149999999999999" x14ac:dyDescent="0.55000000000000004">
      <c r="E45" s="13" t="s">
        <v>200</v>
      </c>
      <c r="F45">
        <v>100</v>
      </c>
      <c r="I45" t="s">
        <v>213</v>
      </c>
      <c r="J45">
        <v>67</v>
      </c>
    </row>
    <row r="46" spans="1:19" ht="17.149999999999999" x14ac:dyDescent="0.55000000000000004">
      <c r="E46" s="13" t="s">
        <v>201</v>
      </c>
      <c r="F46">
        <v>67</v>
      </c>
      <c r="I46" t="s">
        <v>22</v>
      </c>
      <c r="J46">
        <v>28</v>
      </c>
    </row>
    <row r="47" spans="1:19" ht="17.149999999999999" x14ac:dyDescent="0.55000000000000004">
      <c r="E47" s="13" t="s">
        <v>202</v>
      </c>
      <c r="F47">
        <v>50</v>
      </c>
      <c r="I47" t="s">
        <v>215</v>
      </c>
      <c r="J47">
        <v>31</v>
      </c>
    </row>
    <row r="48" spans="1:19" ht="17.149999999999999" x14ac:dyDescent="0.55000000000000004">
      <c r="E48" s="13" t="s">
        <v>203</v>
      </c>
      <c r="F48">
        <v>70</v>
      </c>
      <c r="I48" t="s">
        <v>216</v>
      </c>
      <c r="J48">
        <v>32</v>
      </c>
    </row>
    <row r="49" spans="2:10" ht="17.149999999999999" x14ac:dyDescent="0.55000000000000004">
      <c r="E49" s="13" t="s">
        <v>204</v>
      </c>
      <c r="F49">
        <v>300</v>
      </c>
      <c r="I49" t="s">
        <v>217</v>
      </c>
      <c r="J49">
        <v>46</v>
      </c>
    </row>
    <row r="50" spans="2:10" ht="17.149999999999999" x14ac:dyDescent="0.55000000000000004">
      <c r="E50" s="13" t="s">
        <v>206</v>
      </c>
      <c r="F50">
        <v>100</v>
      </c>
      <c r="I50" t="s">
        <v>24</v>
      </c>
      <c r="J50">
        <v>20914</v>
      </c>
    </row>
    <row r="51" spans="2:10" x14ac:dyDescent="0.45">
      <c r="I51" t="s">
        <v>219</v>
      </c>
      <c r="J51">
        <v>357</v>
      </c>
    </row>
    <row r="52" spans="2:10" x14ac:dyDescent="0.45">
      <c r="J52">
        <v>300</v>
      </c>
    </row>
    <row r="54" spans="2:10" x14ac:dyDescent="0.45">
      <c r="F54">
        <f>SUM(F40:F50)</f>
        <v>4687</v>
      </c>
    </row>
    <row r="62" spans="2:10" x14ac:dyDescent="0.45">
      <c r="B62" s="7" t="s">
        <v>2</v>
      </c>
      <c r="C62" s="4">
        <v>1900</v>
      </c>
    </row>
    <row r="98" spans="2:16" x14ac:dyDescent="0.45">
      <c r="B98">
        <v>3000</v>
      </c>
    </row>
    <row r="99" spans="2:16" x14ac:dyDescent="0.45">
      <c r="B99">
        <v>2500</v>
      </c>
      <c r="J99">
        <v>3000</v>
      </c>
    </row>
    <row r="100" spans="2:16" x14ac:dyDescent="0.45">
      <c r="B100">
        <v>2500</v>
      </c>
      <c r="J100">
        <v>600</v>
      </c>
    </row>
    <row r="101" spans="2:16" x14ac:dyDescent="0.45">
      <c r="B101">
        <v>800</v>
      </c>
    </row>
    <row r="102" spans="2:16" x14ac:dyDescent="0.45">
      <c r="B102">
        <v>700</v>
      </c>
    </row>
    <row r="106" spans="2:16" x14ac:dyDescent="0.45">
      <c r="B106">
        <f>SUM(B98:B102)</f>
        <v>9500</v>
      </c>
      <c r="D106">
        <f>B106-7000</f>
        <v>2500</v>
      </c>
    </row>
    <row r="107" spans="2:16" x14ac:dyDescent="0.45">
      <c r="P107">
        <v>126</v>
      </c>
    </row>
    <row r="108" spans="2:16" x14ac:dyDescent="0.45">
      <c r="P108" s="4">
        <v>12</v>
      </c>
    </row>
    <row r="109" spans="2:16" x14ac:dyDescent="0.45">
      <c r="P109" s="4">
        <v>10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20</v>
      </c>
    </row>
    <row r="113" spans="5:16" x14ac:dyDescent="0.45">
      <c r="P113" s="4">
        <v>3.99</v>
      </c>
    </row>
    <row r="114" spans="5:16" x14ac:dyDescent="0.45">
      <c r="P114" s="4">
        <v>100</v>
      </c>
    </row>
    <row r="115" spans="5:16" x14ac:dyDescent="0.45">
      <c r="E115">
        <v>1400</v>
      </c>
      <c r="P115" s="4">
        <v>75</v>
      </c>
    </row>
    <row r="116" spans="5:16" x14ac:dyDescent="0.45">
      <c r="E116">
        <v>1300</v>
      </c>
      <c r="P116" s="4">
        <v>60</v>
      </c>
    </row>
    <row r="117" spans="5:16" x14ac:dyDescent="0.45">
      <c r="E117">
        <v>950</v>
      </c>
      <c r="P117" s="4"/>
    </row>
    <row r="118" spans="5:16" x14ac:dyDescent="0.45">
      <c r="P118" s="4">
        <v>70</v>
      </c>
    </row>
    <row r="121" spans="5:16" x14ac:dyDescent="0.45">
      <c r="E121">
        <f>SUM(E115:E119)</f>
        <v>3650</v>
      </c>
    </row>
    <row r="125" spans="5:16" x14ac:dyDescent="0.4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4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4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45">
      <c r="E36">
        <f>5.2+13.8+10.96+13+13+21+6.99+47+62+12+68+40</f>
        <v>312.95</v>
      </c>
    </row>
    <row r="39" spans="1:19" x14ac:dyDescent="0.4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7.149999999999999" x14ac:dyDescent="0.55000000000000004">
      <c r="E40" s="13" t="s">
        <v>196</v>
      </c>
      <c r="F40">
        <v>500</v>
      </c>
      <c r="I40" t="s">
        <v>209</v>
      </c>
      <c r="J40">
        <v>100</v>
      </c>
    </row>
    <row r="41" spans="1:19" ht="17.149999999999999" x14ac:dyDescent="0.55000000000000004">
      <c r="E41" s="13" t="s">
        <v>197</v>
      </c>
      <c r="F41">
        <v>800</v>
      </c>
      <c r="I41" t="s">
        <v>210</v>
      </c>
      <c r="J41">
        <v>21</v>
      </c>
    </row>
    <row r="42" spans="1:19" ht="17.149999999999999" x14ac:dyDescent="0.55000000000000004">
      <c r="E42" s="13" t="s">
        <v>198</v>
      </c>
      <c r="F42">
        <v>200</v>
      </c>
      <c r="I42" t="s">
        <v>211</v>
      </c>
      <c r="J42">
        <v>20</v>
      </c>
    </row>
    <row r="43" spans="1:19" ht="17.149999999999999" x14ac:dyDescent="0.55000000000000004">
      <c r="E43" s="13" t="s">
        <v>199</v>
      </c>
      <c r="F43">
        <v>2000</v>
      </c>
      <c r="I43" t="s">
        <v>212</v>
      </c>
      <c r="J43">
        <v>20</v>
      </c>
    </row>
    <row r="44" spans="1:19" ht="17.149999999999999" x14ac:dyDescent="0.55000000000000004">
      <c r="E44" s="13" t="s">
        <v>205</v>
      </c>
      <c r="F44">
        <v>500</v>
      </c>
      <c r="I44" t="s">
        <v>212</v>
      </c>
      <c r="J44">
        <v>27</v>
      </c>
    </row>
    <row r="45" spans="1:19" ht="17.149999999999999" x14ac:dyDescent="0.55000000000000004">
      <c r="E45" s="13" t="s">
        <v>200</v>
      </c>
      <c r="F45">
        <v>100</v>
      </c>
      <c r="I45" t="s">
        <v>213</v>
      </c>
      <c r="J45">
        <v>67</v>
      </c>
    </row>
    <row r="46" spans="1:19" ht="17.149999999999999" x14ac:dyDescent="0.55000000000000004">
      <c r="E46" s="13" t="s">
        <v>201</v>
      </c>
      <c r="F46">
        <v>67</v>
      </c>
      <c r="I46" t="s">
        <v>22</v>
      </c>
      <c r="J46">
        <v>28</v>
      </c>
    </row>
    <row r="47" spans="1:19" ht="17.149999999999999" x14ac:dyDescent="0.55000000000000004">
      <c r="E47" s="13" t="s">
        <v>202</v>
      </c>
      <c r="F47">
        <v>50</v>
      </c>
      <c r="I47" t="s">
        <v>215</v>
      </c>
      <c r="J47">
        <v>31</v>
      </c>
    </row>
    <row r="48" spans="1:19" ht="17.149999999999999" x14ac:dyDescent="0.55000000000000004">
      <c r="E48" s="13" t="s">
        <v>203</v>
      </c>
      <c r="F48">
        <v>70</v>
      </c>
      <c r="I48" t="s">
        <v>216</v>
      </c>
      <c r="J48">
        <v>32</v>
      </c>
    </row>
    <row r="49" spans="2:10" ht="17.149999999999999" x14ac:dyDescent="0.55000000000000004">
      <c r="E49" s="13" t="s">
        <v>204</v>
      </c>
      <c r="F49">
        <v>300</v>
      </c>
      <c r="I49" t="s">
        <v>217</v>
      </c>
      <c r="J49">
        <v>46</v>
      </c>
    </row>
    <row r="50" spans="2:10" ht="17.149999999999999" x14ac:dyDescent="0.55000000000000004">
      <c r="E50" s="13" t="s">
        <v>206</v>
      </c>
      <c r="F50">
        <v>100</v>
      </c>
      <c r="I50" t="s">
        <v>24</v>
      </c>
      <c r="J50">
        <v>20914</v>
      </c>
    </row>
    <row r="51" spans="2:10" x14ac:dyDescent="0.45">
      <c r="I51" t="s">
        <v>219</v>
      </c>
      <c r="J51">
        <v>357</v>
      </c>
    </row>
    <row r="52" spans="2:10" x14ac:dyDescent="0.45">
      <c r="J52">
        <v>300</v>
      </c>
    </row>
    <row r="54" spans="2:10" x14ac:dyDescent="0.45">
      <c r="F54">
        <f>SUM(F40:F50)</f>
        <v>4687</v>
      </c>
    </row>
    <row r="62" spans="2:10" x14ac:dyDescent="0.45">
      <c r="B62" s="7" t="s">
        <v>2</v>
      </c>
      <c r="C62" s="4">
        <v>1900</v>
      </c>
    </row>
    <row r="98" spans="2:16" x14ac:dyDescent="0.45">
      <c r="B98">
        <v>3000</v>
      </c>
    </row>
    <row r="99" spans="2:16" x14ac:dyDescent="0.45">
      <c r="B99">
        <v>2500</v>
      </c>
      <c r="J99">
        <v>3000</v>
      </c>
    </row>
    <row r="100" spans="2:16" x14ac:dyDescent="0.45">
      <c r="B100">
        <v>2500</v>
      </c>
      <c r="J100">
        <v>600</v>
      </c>
    </row>
    <row r="101" spans="2:16" x14ac:dyDescent="0.45">
      <c r="B101">
        <v>800</v>
      </c>
    </row>
    <row r="102" spans="2:16" x14ac:dyDescent="0.45">
      <c r="B102">
        <v>700</v>
      </c>
    </row>
    <row r="106" spans="2:16" x14ac:dyDescent="0.45">
      <c r="B106">
        <f>SUM(B98:B102)</f>
        <v>9500</v>
      </c>
      <c r="D106">
        <f>B106-7000</f>
        <v>2500</v>
      </c>
    </row>
    <row r="107" spans="2:16" x14ac:dyDescent="0.45">
      <c r="P107">
        <v>126</v>
      </c>
    </row>
    <row r="108" spans="2:16" x14ac:dyDescent="0.45">
      <c r="P108" s="4">
        <v>12</v>
      </c>
    </row>
    <row r="109" spans="2:16" x14ac:dyDescent="0.45">
      <c r="P109" s="4">
        <v>10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20</v>
      </c>
    </row>
    <row r="113" spans="5:16" x14ac:dyDescent="0.45">
      <c r="P113" s="4">
        <v>3.99</v>
      </c>
    </row>
    <row r="114" spans="5:16" x14ac:dyDescent="0.45">
      <c r="P114" s="4">
        <v>100</v>
      </c>
    </row>
    <row r="115" spans="5:16" x14ac:dyDescent="0.45">
      <c r="E115">
        <v>1400</v>
      </c>
      <c r="P115" s="4">
        <v>75</v>
      </c>
    </row>
    <row r="116" spans="5:16" x14ac:dyDescent="0.45">
      <c r="E116">
        <v>1300</v>
      </c>
      <c r="P116" s="4">
        <v>60</v>
      </c>
    </row>
    <row r="117" spans="5:16" x14ac:dyDescent="0.45">
      <c r="E117">
        <v>950</v>
      </c>
      <c r="P117" s="4"/>
    </row>
    <row r="118" spans="5:16" x14ac:dyDescent="0.45">
      <c r="P118" s="4">
        <v>70</v>
      </c>
    </row>
    <row r="121" spans="5:16" x14ac:dyDescent="0.45">
      <c r="E121">
        <f>SUM(E115:E119)</f>
        <v>3650</v>
      </c>
    </row>
    <row r="125" spans="5:16" x14ac:dyDescent="0.4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4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4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45">
      <c r="E36">
        <f>5.2+13.8+10.96+13+13+21+6.99+47+62+12+68+40</f>
        <v>312.95</v>
      </c>
    </row>
    <row r="39" spans="1:19" x14ac:dyDescent="0.4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7.149999999999999" x14ac:dyDescent="0.55000000000000004">
      <c r="E40" s="13" t="s">
        <v>196</v>
      </c>
      <c r="F40">
        <v>500</v>
      </c>
      <c r="I40" t="s">
        <v>209</v>
      </c>
      <c r="J40">
        <v>100</v>
      </c>
    </row>
    <row r="41" spans="1:19" ht="17.149999999999999" x14ac:dyDescent="0.55000000000000004">
      <c r="E41" s="13" t="s">
        <v>197</v>
      </c>
      <c r="F41">
        <v>800</v>
      </c>
      <c r="I41" t="s">
        <v>210</v>
      </c>
      <c r="J41">
        <v>21</v>
      </c>
    </row>
    <row r="42" spans="1:19" ht="17.149999999999999" x14ac:dyDescent="0.55000000000000004">
      <c r="E42" s="13" t="s">
        <v>198</v>
      </c>
      <c r="F42">
        <v>200</v>
      </c>
      <c r="I42" t="s">
        <v>211</v>
      </c>
      <c r="J42">
        <v>20</v>
      </c>
    </row>
    <row r="43" spans="1:19" ht="17.149999999999999" x14ac:dyDescent="0.55000000000000004">
      <c r="E43" s="13" t="s">
        <v>199</v>
      </c>
      <c r="F43">
        <v>2000</v>
      </c>
      <c r="I43" t="s">
        <v>212</v>
      </c>
      <c r="J43">
        <v>20</v>
      </c>
    </row>
    <row r="44" spans="1:19" ht="17.149999999999999" x14ac:dyDescent="0.55000000000000004">
      <c r="E44" s="13" t="s">
        <v>205</v>
      </c>
      <c r="F44">
        <v>500</v>
      </c>
      <c r="I44" t="s">
        <v>212</v>
      </c>
      <c r="J44">
        <v>27</v>
      </c>
    </row>
    <row r="45" spans="1:19" ht="17.149999999999999" x14ac:dyDescent="0.55000000000000004">
      <c r="E45" s="13" t="s">
        <v>200</v>
      </c>
      <c r="F45">
        <v>100</v>
      </c>
      <c r="I45" t="s">
        <v>213</v>
      </c>
      <c r="J45">
        <v>67</v>
      </c>
    </row>
    <row r="46" spans="1:19" ht="17.149999999999999" x14ac:dyDescent="0.55000000000000004">
      <c r="E46" s="13" t="s">
        <v>201</v>
      </c>
      <c r="F46">
        <v>67</v>
      </c>
      <c r="I46" t="s">
        <v>22</v>
      </c>
      <c r="J46">
        <v>28</v>
      </c>
    </row>
    <row r="47" spans="1:19" ht="17.149999999999999" x14ac:dyDescent="0.55000000000000004">
      <c r="E47" s="13" t="s">
        <v>202</v>
      </c>
      <c r="F47">
        <v>50</v>
      </c>
      <c r="I47" t="s">
        <v>215</v>
      </c>
      <c r="J47">
        <v>31</v>
      </c>
    </row>
    <row r="48" spans="1:19" ht="17.149999999999999" x14ac:dyDescent="0.55000000000000004">
      <c r="E48" s="13" t="s">
        <v>203</v>
      </c>
      <c r="F48">
        <v>70</v>
      </c>
      <c r="I48" t="s">
        <v>216</v>
      </c>
      <c r="J48">
        <v>32</v>
      </c>
    </row>
    <row r="49" spans="2:10" ht="17.149999999999999" x14ac:dyDescent="0.55000000000000004">
      <c r="E49" s="13" t="s">
        <v>204</v>
      </c>
      <c r="F49">
        <v>300</v>
      </c>
      <c r="I49" t="s">
        <v>217</v>
      </c>
      <c r="J49">
        <v>46</v>
      </c>
    </row>
    <row r="50" spans="2:10" ht="17.149999999999999" x14ac:dyDescent="0.55000000000000004">
      <c r="E50" s="13" t="s">
        <v>206</v>
      </c>
      <c r="F50">
        <v>100</v>
      </c>
      <c r="I50" t="s">
        <v>24</v>
      </c>
      <c r="J50">
        <v>20914</v>
      </c>
    </row>
    <row r="51" spans="2:10" x14ac:dyDescent="0.45">
      <c r="I51" t="s">
        <v>219</v>
      </c>
      <c r="J51">
        <v>357</v>
      </c>
    </row>
    <row r="52" spans="2:10" x14ac:dyDescent="0.45">
      <c r="J52">
        <v>300</v>
      </c>
    </row>
    <row r="54" spans="2:10" x14ac:dyDescent="0.45">
      <c r="F54">
        <f>SUM(F40:F50)</f>
        <v>4687</v>
      </c>
    </row>
    <row r="62" spans="2:10" x14ac:dyDescent="0.45">
      <c r="B62" s="7" t="s">
        <v>2</v>
      </c>
      <c r="C62" s="4">
        <v>1900</v>
      </c>
    </row>
    <row r="98" spans="2:16" x14ac:dyDescent="0.45">
      <c r="B98">
        <v>3000</v>
      </c>
    </row>
    <row r="99" spans="2:16" x14ac:dyDescent="0.45">
      <c r="B99">
        <v>2500</v>
      </c>
      <c r="J99">
        <v>3000</v>
      </c>
    </row>
    <row r="100" spans="2:16" x14ac:dyDescent="0.45">
      <c r="B100">
        <v>2500</v>
      </c>
      <c r="J100">
        <v>600</v>
      </c>
    </row>
    <row r="101" spans="2:16" x14ac:dyDescent="0.45">
      <c r="B101">
        <v>800</v>
      </c>
    </row>
    <row r="102" spans="2:16" x14ac:dyDescent="0.45">
      <c r="B102">
        <v>700</v>
      </c>
    </row>
    <row r="106" spans="2:16" x14ac:dyDescent="0.45">
      <c r="B106">
        <f>SUM(B98:B102)</f>
        <v>9500</v>
      </c>
      <c r="D106">
        <f>B106-7000</f>
        <v>2500</v>
      </c>
    </row>
    <row r="107" spans="2:16" x14ac:dyDescent="0.45">
      <c r="P107">
        <v>126</v>
      </c>
    </row>
    <row r="108" spans="2:16" x14ac:dyDescent="0.45">
      <c r="P108" s="4">
        <v>12</v>
      </c>
    </row>
    <row r="109" spans="2:16" x14ac:dyDescent="0.45">
      <c r="P109" s="4">
        <v>10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20</v>
      </c>
    </row>
    <row r="113" spans="5:16" x14ac:dyDescent="0.45">
      <c r="P113" s="4">
        <v>3.99</v>
      </c>
    </row>
    <row r="114" spans="5:16" x14ac:dyDescent="0.45">
      <c r="P114" s="4">
        <v>100</v>
      </c>
    </row>
    <row r="115" spans="5:16" x14ac:dyDescent="0.45">
      <c r="E115">
        <v>1400</v>
      </c>
      <c r="P115" s="4">
        <v>75</v>
      </c>
    </row>
    <row r="116" spans="5:16" x14ac:dyDescent="0.45">
      <c r="E116">
        <v>1300</v>
      </c>
      <c r="P116" s="4">
        <v>60</v>
      </c>
    </row>
    <row r="117" spans="5:16" x14ac:dyDescent="0.45">
      <c r="E117">
        <v>950</v>
      </c>
      <c r="P117" s="4"/>
    </row>
    <row r="118" spans="5:16" x14ac:dyDescent="0.45">
      <c r="P118" s="4">
        <v>70</v>
      </c>
    </row>
    <row r="121" spans="5:16" x14ac:dyDescent="0.45">
      <c r="E121">
        <f>SUM(E115:E119)</f>
        <v>3650</v>
      </c>
    </row>
    <row r="125" spans="5:16" x14ac:dyDescent="0.4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9" x14ac:dyDescent="0.45"/>
  <cols>
    <col min="2" max="2" width="11.640625" bestFit="1" customWidth="1"/>
    <col min="5" max="5" width="20.140625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4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4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45">
      <c r="E36">
        <f>5.2+13.8+10.96+13+13+21+6.99+47+62+12+68+40</f>
        <v>312.95</v>
      </c>
    </row>
    <row r="39" spans="1:19" x14ac:dyDescent="0.4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7.149999999999999" x14ac:dyDescent="0.55000000000000004">
      <c r="E40" s="13" t="s">
        <v>196</v>
      </c>
      <c r="F40">
        <v>500</v>
      </c>
      <c r="I40" t="s">
        <v>209</v>
      </c>
      <c r="J40">
        <v>100</v>
      </c>
    </row>
    <row r="41" spans="1:19" ht="17.149999999999999" x14ac:dyDescent="0.55000000000000004">
      <c r="E41" s="13" t="s">
        <v>197</v>
      </c>
      <c r="F41">
        <v>800</v>
      </c>
      <c r="I41" t="s">
        <v>210</v>
      </c>
      <c r="J41">
        <v>21</v>
      </c>
    </row>
    <row r="42" spans="1:19" ht="17.149999999999999" x14ac:dyDescent="0.55000000000000004">
      <c r="E42" s="13" t="s">
        <v>198</v>
      </c>
      <c r="F42">
        <v>200</v>
      </c>
      <c r="I42" t="s">
        <v>211</v>
      </c>
      <c r="J42">
        <v>20</v>
      </c>
    </row>
    <row r="43" spans="1:19" ht="17.149999999999999" x14ac:dyDescent="0.55000000000000004">
      <c r="E43" s="13" t="s">
        <v>199</v>
      </c>
      <c r="F43">
        <v>2000</v>
      </c>
      <c r="I43" t="s">
        <v>212</v>
      </c>
      <c r="J43">
        <v>20</v>
      </c>
    </row>
    <row r="44" spans="1:19" ht="17.149999999999999" x14ac:dyDescent="0.55000000000000004">
      <c r="E44" s="13" t="s">
        <v>205</v>
      </c>
      <c r="F44">
        <v>500</v>
      </c>
      <c r="I44" t="s">
        <v>212</v>
      </c>
      <c r="J44">
        <v>27</v>
      </c>
    </row>
    <row r="45" spans="1:19" ht="17.149999999999999" x14ac:dyDescent="0.55000000000000004">
      <c r="E45" s="13" t="s">
        <v>200</v>
      </c>
      <c r="F45">
        <v>100</v>
      </c>
      <c r="I45" t="s">
        <v>213</v>
      </c>
      <c r="J45">
        <v>67</v>
      </c>
    </row>
    <row r="46" spans="1:19" ht="17.149999999999999" x14ac:dyDescent="0.55000000000000004">
      <c r="E46" s="13" t="s">
        <v>201</v>
      </c>
      <c r="F46">
        <v>67</v>
      </c>
      <c r="I46" t="s">
        <v>22</v>
      </c>
      <c r="J46">
        <v>28</v>
      </c>
    </row>
    <row r="47" spans="1:19" ht="17.149999999999999" x14ac:dyDescent="0.55000000000000004">
      <c r="E47" s="13" t="s">
        <v>202</v>
      </c>
      <c r="F47">
        <v>50</v>
      </c>
      <c r="I47" t="s">
        <v>215</v>
      </c>
      <c r="J47">
        <v>31</v>
      </c>
    </row>
    <row r="48" spans="1:19" ht="17.149999999999999" x14ac:dyDescent="0.55000000000000004">
      <c r="E48" s="13" t="s">
        <v>203</v>
      </c>
      <c r="F48">
        <v>70</v>
      </c>
      <c r="I48" t="s">
        <v>216</v>
      </c>
      <c r="J48">
        <v>32</v>
      </c>
    </row>
    <row r="49" spans="2:10" ht="17.149999999999999" x14ac:dyDescent="0.55000000000000004">
      <c r="E49" s="13" t="s">
        <v>204</v>
      </c>
      <c r="F49">
        <v>300</v>
      </c>
      <c r="I49" t="s">
        <v>217</v>
      </c>
      <c r="J49">
        <v>46</v>
      </c>
    </row>
    <row r="50" spans="2:10" ht="17.149999999999999" x14ac:dyDescent="0.55000000000000004">
      <c r="E50" s="13" t="s">
        <v>206</v>
      </c>
      <c r="F50">
        <v>100</v>
      </c>
      <c r="I50" t="s">
        <v>24</v>
      </c>
      <c r="J50">
        <v>20914</v>
      </c>
    </row>
    <row r="51" spans="2:10" x14ac:dyDescent="0.45">
      <c r="I51" t="s">
        <v>219</v>
      </c>
      <c r="J51">
        <v>357</v>
      </c>
    </row>
    <row r="52" spans="2:10" x14ac:dyDescent="0.45">
      <c r="J52">
        <v>300</v>
      </c>
    </row>
    <row r="54" spans="2:10" x14ac:dyDescent="0.45">
      <c r="F54">
        <f>SUM(F40:F50)</f>
        <v>4687</v>
      </c>
    </row>
    <row r="62" spans="2:10" x14ac:dyDescent="0.45">
      <c r="B62" s="7" t="s">
        <v>2</v>
      </c>
      <c r="C62" s="4">
        <v>1900</v>
      </c>
    </row>
    <row r="98" spans="2:16" x14ac:dyDescent="0.45">
      <c r="B98">
        <v>3000</v>
      </c>
    </row>
    <row r="99" spans="2:16" x14ac:dyDescent="0.45">
      <c r="B99">
        <v>2500</v>
      </c>
      <c r="J99">
        <v>3000</v>
      </c>
    </row>
    <row r="100" spans="2:16" x14ac:dyDescent="0.45">
      <c r="B100">
        <v>2500</v>
      </c>
      <c r="J100">
        <v>600</v>
      </c>
    </row>
    <row r="101" spans="2:16" x14ac:dyDescent="0.45">
      <c r="B101">
        <v>800</v>
      </c>
    </row>
    <row r="102" spans="2:16" x14ac:dyDescent="0.45">
      <c r="B102">
        <v>700</v>
      </c>
    </row>
    <row r="106" spans="2:16" x14ac:dyDescent="0.45">
      <c r="B106">
        <f>SUM(B98:B102)</f>
        <v>9500</v>
      </c>
      <c r="D106">
        <f>B106-7000</f>
        <v>2500</v>
      </c>
    </row>
    <row r="107" spans="2:16" x14ac:dyDescent="0.45">
      <c r="P107">
        <v>126</v>
      </c>
    </row>
    <row r="108" spans="2:16" x14ac:dyDescent="0.45">
      <c r="P108" s="4">
        <v>12</v>
      </c>
    </row>
    <row r="109" spans="2:16" x14ac:dyDescent="0.45">
      <c r="P109" s="4">
        <v>10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20</v>
      </c>
    </row>
    <row r="113" spans="5:16" x14ac:dyDescent="0.45">
      <c r="P113" s="4">
        <v>3.99</v>
      </c>
    </row>
    <row r="114" spans="5:16" x14ac:dyDescent="0.45">
      <c r="P114" s="4">
        <v>100</v>
      </c>
    </row>
    <row r="115" spans="5:16" x14ac:dyDescent="0.45">
      <c r="E115">
        <v>1400</v>
      </c>
      <c r="P115" s="4">
        <v>75</v>
      </c>
    </row>
    <row r="116" spans="5:16" x14ac:dyDescent="0.45">
      <c r="E116">
        <v>1300</v>
      </c>
      <c r="P116" s="4">
        <v>60</v>
      </c>
    </row>
    <row r="117" spans="5:16" x14ac:dyDescent="0.45">
      <c r="E117">
        <v>950</v>
      </c>
      <c r="P117" s="4"/>
    </row>
    <row r="118" spans="5:16" x14ac:dyDescent="0.45">
      <c r="P118" s="4">
        <v>70</v>
      </c>
    </row>
    <row r="121" spans="5:16" x14ac:dyDescent="0.45">
      <c r="E121">
        <f>SUM(E115:E119)</f>
        <v>3650</v>
      </c>
    </row>
    <row r="125" spans="5:16" x14ac:dyDescent="0.4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workbookViewId="0">
      <selection activeCell="C13" sqref="A1:XFD1048576"/>
    </sheetView>
  </sheetViews>
  <sheetFormatPr baseColWidth="10" defaultRowHeight="15.9" x14ac:dyDescent="0.45"/>
  <cols>
    <col min="2" max="2" width="11.640625" bestFit="1" customWidth="1"/>
    <col min="5" max="5" width="20.140625" customWidth="1"/>
    <col min="8" max="8" width="15.2109375" bestFit="1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308</v>
      </c>
      <c r="C13" s="4">
        <v>100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309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310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311</v>
      </c>
      <c r="C16" s="4">
        <v>400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 t="s">
        <v>312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7" t="s">
        <v>74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4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4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45">
      <c r="E36">
        <f>5.2+13.8+10.96+13+13+21+6.99+47+62+12+68+40</f>
        <v>312.95</v>
      </c>
    </row>
    <row r="39" spans="1:19" x14ac:dyDescent="0.4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7.149999999999999" x14ac:dyDescent="0.55000000000000004">
      <c r="E40" s="13" t="s">
        <v>196</v>
      </c>
      <c r="F40">
        <v>500</v>
      </c>
      <c r="I40" t="s">
        <v>209</v>
      </c>
      <c r="J40">
        <v>100</v>
      </c>
    </row>
    <row r="41" spans="1:19" ht="17.149999999999999" x14ac:dyDescent="0.55000000000000004">
      <c r="E41" s="13" t="s">
        <v>197</v>
      </c>
      <c r="F41">
        <v>800</v>
      </c>
      <c r="I41" t="s">
        <v>210</v>
      </c>
      <c r="J41">
        <v>21</v>
      </c>
    </row>
    <row r="42" spans="1:19" ht="17.149999999999999" x14ac:dyDescent="0.55000000000000004">
      <c r="E42" s="13" t="s">
        <v>198</v>
      </c>
      <c r="F42">
        <v>200</v>
      </c>
      <c r="I42" t="s">
        <v>211</v>
      </c>
      <c r="J42">
        <v>20</v>
      </c>
    </row>
    <row r="43" spans="1:19" ht="17.149999999999999" x14ac:dyDescent="0.55000000000000004">
      <c r="E43" s="13" t="s">
        <v>199</v>
      </c>
      <c r="F43">
        <v>2000</v>
      </c>
      <c r="I43" t="s">
        <v>212</v>
      </c>
      <c r="J43">
        <v>20</v>
      </c>
    </row>
    <row r="44" spans="1:19" ht="17.149999999999999" x14ac:dyDescent="0.55000000000000004">
      <c r="E44" s="13" t="s">
        <v>205</v>
      </c>
      <c r="F44">
        <v>500</v>
      </c>
      <c r="I44" t="s">
        <v>212</v>
      </c>
      <c r="J44">
        <v>27</v>
      </c>
    </row>
    <row r="45" spans="1:19" ht="17.149999999999999" x14ac:dyDescent="0.55000000000000004">
      <c r="E45" s="13" t="s">
        <v>200</v>
      </c>
      <c r="F45">
        <v>100</v>
      </c>
      <c r="I45" t="s">
        <v>213</v>
      </c>
      <c r="J45">
        <v>67</v>
      </c>
    </row>
    <row r="46" spans="1:19" ht="17.149999999999999" x14ac:dyDescent="0.55000000000000004">
      <c r="E46" s="13" t="s">
        <v>201</v>
      </c>
      <c r="F46">
        <v>67</v>
      </c>
      <c r="I46" t="s">
        <v>22</v>
      </c>
      <c r="J46">
        <v>28</v>
      </c>
    </row>
    <row r="47" spans="1:19" ht="17.149999999999999" x14ac:dyDescent="0.55000000000000004">
      <c r="E47" s="13" t="s">
        <v>202</v>
      </c>
      <c r="F47">
        <v>50</v>
      </c>
      <c r="I47" t="s">
        <v>215</v>
      </c>
      <c r="J47">
        <v>31</v>
      </c>
    </row>
    <row r="48" spans="1:19" ht="17.149999999999999" x14ac:dyDescent="0.55000000000000004">
      <c r="E48" s="13" t="s">
        <v>203</v>
      </c>
      <c r="F48">
        <v>70</v>
      </c>
      <c r="I48" t="s">
        <v>216</v>
      </c>
      <c r="J48">
        <v>32</v>
      </c>
    </row>
    <row r="49" spans="2:10" ht="17.149999999999999" x14ac:dyDescent="0.55000000000000004">
      <c r="E49" s="13" t="s">
        <v>204</v>
      </c>
      <c r="F49">
        <v>300</v>
      </c>
      <c r="I49" t="s">
        <v>217</v>
      </c>
      <c r="J49">
        <v>46</v>
      </c>
    </row>
    <row r="50" spans="2:10" ht="17.149999999999999" x14ac:dyDescent="0.55000000000000004">
      <c r="E50" s="13" t="s">
        <v>206</v>
      </c>
      <c r="F50">
        <v>100</v>
      </c>
      <c r="I50" t="s">
        <v>24</v>
      </c>
      <c r="J50">
        <v>20914</v>
      </c>
    </row>
    <row r="51" spans="2:10" x14ac:dyDescent="0.45">
      <c r="I51" t="s">
        <v>219</v>
      </c>
      <c r="J51">
        <v>357</v>
      </c>
    </row>
    <row r="52" spans="2:10" x14ac:dyDescent="0.45">
      <c r="J52">
        <v>300</v>
      </c>
    </row>
    <row r="54" spans="2:10" x14ac:dyDescent="0.45">
      <c r="F54">
        <f>SUM(F40:F50)</f>
        <v>4687</v>
      </c>
    </row>
    <row r="62" spans="2:10" x14ac:dyDescent="0.45">
      <c r="B62" s="7" t="s">
        <v>2</v>
      </c>
      <c r="C62" s="4">
        <v>1900</v>
      </c>
    </row>
    <row r="98" spans="2:16" x14ac:dyDescent="0.45">
      <c r="B98">
        <v>3000</v>
      </c>
    </row>
    <row r="99" spans="2:16" x14ac:dyDescent="0.45">
      <c r="B99">
        <v>2500</v>
      </c>
      <c r="J99">
        <v>3000</v>
      </c>
    </row>
    <row r="100" spans="2:16" x14ac:dyDescent="0.45">
      <c r="B100">
        <v>2500</v>
      </c>
      <c r="J100">
        <v>600</v>
      </c>
    </row>
    <row r="101" spans="2:16" x14ac:dyDescent="0.45">
      <c r="B101">
        <v>800</v>
      </c>
    </row>
    <row r="102" spans="2:16" x14ac:dyDescent="0.45">
      <c r="B102">
        <v>700</v>
      </c>
    </row>
    <row r="106" spans="2:16" x14ac:dyDescent="0.45">
      <c r="B106">
        <f>SUM(B98:B102)</f>
        <v>9500</v>
      </c>
      <c r="D106">
        <f>B106-7000</f>
        <v>2500</v>
      </c>
    </row>
    <row r="107" spans="2:16" x14ac:dyDescent="0.45">
      <c r="P107">
        <v>126</v>
      </c>
    </row>
    <row r="108" spans="2:16" x14ac:dyDescent="0.45">
      <c r="P108" s="4">
        <v>12</v>
      </c>
    </row>
    <row r="109" spans="2:16" x14ac:dyDescent="0.45">
      <c r="P109" s="4">
        <v>10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20</v>
      </c>
    </row>
    <row r="113" spans="5:16" x14ac:dyDescent="0.45">
      <c r="P113" s="4">
        <v>3.99</v>
      </c>
    </row>
    <row r="114" spans="5:16" x14ac:dyDescent="0.45">
      <c r="P114" s="4">
        <v>100</v>
      </c>
    </row>
    <row r="115" spans="5:16" x14ac:dyDescent="0.45">
      <c r="E115">
        <v>1400</v>
      </c>
      <c r="P115" s="4">
        <v>75</v>
      </c>
    </row>
    <row r="116" spans="5:16" x14ac:dyDescent="0.45">
      <c r="E116">
        <v>1300</v>
      </c>
      <c r="P116" s="4">
        <v>60</v>
      </c>
    </row>
    <row r="117" spans="5:16" x14ac:dyDescent="0.45">
      <c r="E117">
        <v>950</v>
      </c>
      <c r="P117" s="4"/>
    </row>
    <row r="118" spans="5:16" x14ac:dyDescent="0.45">
      <c r="P118" s="4">
        <v>70</v>
      </c>
    </row>
    <row r="121" spans="5:16" x14ac:dyDescent="0.45">
      <c r="E121">
        <f>SUM(E115:E119)</f>
        <v>3650</v>
      </c>
    </row>
    <row r="125" spans="5:16" x14ac:dyDescent="0.4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:T125"/>
  <sheetViews>
    <sheetView workbookViewId="0">
      <selection activeCell="C10" sqref="C10"/>
    </sheetView>
  </sheetViews>
  <sheetFormatPr baseColWidth="10" defaultRowHeight="15.9" x14ac:dyDescent="0.45"/>
  <cols>
    <col min="2" max="2" width="11.640625" bestFit="1" customWidth="1"/>
    <col min="5" max="5" width="20.140625" customWidth="1"/>
    <col min="8" max="8" width="15.2109375" bestFit="1" customWidth="1"/>
    <col min="9" max="9" width="19.640625" customWidth="1"/>
    <col min="11" max="11" width="8.140625" customWidth="1"/>
    <col min="13" max="13" width="18.140625" customWidth="1"/>
    <col min="18" max="18" width="3.640625" customWidth="1"/>
  </cols>
  <sheetData>
    <row r="1" spans="1:20" x14ac:dyDescent="0.4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4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4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4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4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45">
      <c r="A7" s="3"/>
      <c r="B7" s="2" t="s">
        <v>46</v>
      </c>
      <c r="C7" s="4"/>
      <c r="D7" s="4"/>
      <c r="E7" s="2" t="s">
        <v>0</v>
      </c>
      <c r="F7" s="4">
        <v>1034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4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45">
      <c r="A9" s="3"/>
      <c r="B9" s="2" t="s">
        <v>15</v>
      </c>
      <c r="C9" s="4">
        <v>150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45">
      <c r="A10" s="3"/>
      <c r="B10" s="2" t="s">
        <v>221</v>
      </c>
      <c r="C10" s="4"/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4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4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45">
      <c r="A13" s="3"/>
      <c r="B13" s="2" t="s">
        <v>308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45">
      <c r="A14" s="3"/>
      <c r="B14" s="2" t="s">
        <v>309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45">
      <c r="A15" s="3"/>
      <c r="B15" s="2" t="s">
        <v>310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45">
      <c r="A16" s="3"/>
      <c r="B16" s="2" t="s">
        <v>311</v>
      </c>
      <c r="C16" s="4"/>
      <c r="D16" s="4"/>
      <c r="E16" s="2" t="s">
        <v>222</v>
      </c>
      <c r="F16" s="4">
        <v>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45">
      <c r="A17" s="3"/>
      <c r="B17" s="2" t="s">
        <v>312</v>
      </c>
      <c r="C17" s="4"/>
      <c r="D17" s="4"/>
      <c r="E17" s="2" t="s">
        <v>12</v>
      </c>
      <c r="F17" s="4">
        <v>200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4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4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4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4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45">
      <c r="A22" s="3"/>
      <c r="B22" s="7" t="s">
        <v>4</v>
      </c>
      <c r="C22" s="4">
        <f>SUM(C7:C19)</f>
        <v>189</v>
      </c>
      <c r="D22" s="4"/>
      <c r="E22" s="4"/>
      <c r="F22" s="4">
        <f>SUM(F7:F20)+150</f>
        <v>3152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4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4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4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45">
      <c r="A26" s="3"/>
      <c r="B26" s="4"/>
      <c r="C26" s="7" t="s">
        <v>8</v>
      </c>
      <c r="D26" s="4">
        <f>C22+F22+I22</f>
        <v>3341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4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4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45">
      <c r="A29" s="3"/>
      <c r="B29" s="7" t="s">
        <v>74</v>
      </c>
      <c r="C29" s="4">
        <f>ABS(G4-D26)</f>
        <v>3341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4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4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4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4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45">
      <c r="A34" s="2"/>
      <c r="B34" s="7" t="s">
        <v>25</v>
      </c>
      <c r="C34" s="4">
        <f>H4-D26</f>
        <v>2659</v>
      </c>
      <c r="D34" s="4"/>
      <c r="E34" s="4"/>
      <c r="F34" s="4"/>
      <c r="G34" s="4"/>
      <c r="H34" s="4"/>
      <c r="I34" s="4"/>
      <c r="J34" s="4">
        <f>C29+L29</f>
        <v>3845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4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45">
      <c r="E36">
        <f>5.2+13.8+10.96+13+13+21+6.99+47+62+12+68+40</f>
        <v>312.95</v>
      </c>
    </row>
    <row r="39" spans="1:19" x14ac:dyDescent="0.4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7.149999999999999" x14ac:dyDescent="0.55000000000000004">
      <c r="E40" s="13" t="s">
        <v>196</v>
      </c>
      <c r="F40">
        <v>500</v>
      </c>
      <c r="I40" t="s">
        <v>209</v>
      </c>
      <c r="J40">
        <v>100</v>
      </c>
    </row>
    <row r="41" spans="1:19" ht="17.149999999999999" x14ac:dyDescent="0.55000000000000004">
      <c r="E41" s="13" t="s">
        <v>197</v>
      </c>
      <c r="F41">
        <v>800</v>
      </c>
      <c r="I41" t="s">
        <v>210</v>
      </c>
      <c r="J41">
        <v>21</v>
      </c>
    </row>
    <row r="42" spans="1:19" ht="17.149999999999999" x14ac:dyDescent="0.55000000000000004">
      <c r="E42" s="13" t="s">
        <v>198</v>
      </c>
      <c r="F42">
        <v>200</v>
      </c>
      <c r="I42" t="s">
        <v>211</v>
      </c>
      <c r="J42">
        <v>20</v>
      </c>
    </row>
    <row r="43" spans="1:19" ht="17.149999999999999" x14ac:dyDescent="0.55000000000000004">
      <c r="E43" s="13" t="s">
        <v>199</v>
      </c>
      <c r="F43">
        <v>2000</v>
      </c>
      <c r="I43" t="s">
        <v>212</v>
      </c>
      <c r="J43">
        <v>20</v>
      </c>
    </row>
    <row r="44" spans="1:19" ht="17.149999999999999" x14ac:dyDescent="0.55000000000000004">
      <c r="E44" s="13" t="s">
        <v>205</v>
      </c>
      <c r="F44">
        <v>500</v>
      </c>
      <c r="I44" t="s">
        <v>212</v>
      </c>
      <c r="J44">
        <v>27</v>
      </c>
    </row>
    <row r="45" spans="1:19" ht="17.149999999999999" x14ac:dyDescent="0.55000000000000004">
      <c r="E45" s="13" t="s">
        <v>200</v>
      </c>
      <c r="F45">
        <v>100</v>
      </c>
      <c r="I45" t="s">
        <v>213</v>
      </c>
      <c r="J45">
        <v>67</v>
      </c>
    </row>
    <row r="46" spans="1:19" ht="17.149999999999999" x14ac:dyDescent="0.55000000000000004">
      <c r="E46" s="13" t="s">
        <v>201</v>
      </c>
      <c r="F46">
        <v>67</v>
      </c>
      <c r="I46" t="s">
        <v>22</v>
      </c>
      <c r="J46">
        <v>28</v>
      </c>
    </row>
    <row r="47" spans="1:19" ht="17.149999999999999" x14ac:dyDescent="0.55000000000000004">
      <c r="E47" s="13" t="s">
        <v>202</v>
      </c>
      <c r="F47">
        <v>50</v>
      </c>
      <c r="I47" t="s">
        <v>215</v>
      </c>
      <c r="J47">
        <v>31</v>
      </c>
    </row>
    <row r="48" spans="1:19" ht="17.149999999999999" x14ac:dyDescent="0.55000000000000004">
      <c r="E48" s="13" t="s">
        <v>203</v>
      </c>
      <c r="F48">
        <v>70</v>
      </c>
      <c r="I48" t="s">
        <v>216</v>
      </c>
      <c r="J48">
        <v>32</v>
      </c>
    </row>
    <row r="49" spans="2:10" ht="17.149999999999999" x14ac:dyDescent="0.55000000000000004">
      <c r="E49" s="13" t="s">
        <v>204</v>
      </c>
      <c r="F49">
        <v>300</v>
      </c>
      <c r="I49" t="s">
        <v>217</v>
      </c>
      <c r="J49">
        <v>46</v>
      </c>
    </row>
    <row r="50" spans="2:10" ht="17.149999999999999" x14ac:dyDescent="0.55000000000000004">
      <c r="E50" s="13" t="s">
        <v>206</v>
      </c>
      <c r="F50">
        <v>100</v>
      </c>
      <c r="I50" t="s">
        <v>24</v>
      </c>
      <c r="J50">
        <v>20914</v>
      </c>
    </row>
    <row r="51" spans="2:10" x14ac:dyDescent="0.45">
      <c r="I51" t="s">
        <v>219</v>
      </c>
      <c r="J51">
        <v>357</v>
      </c>
    </row>
    <row r="52" spans="2:10" x14ac:dyDescent="0.45">
      <c r="J52">
        <v>300</v>
      </c>
    </row>
    <row r="54" spans="2:10" x14ac:dyDescent="0.45">
      <c r="F54">
        <f>SUM(F40:F50)</f>
        <v>4687</v>
      </c>
    </row>
    <row r="62" spans="2:10" x14ac:dyDescent="0.45">
      <c r="B62" s="7" t="s">
        <v>2</v>
      </c>
      <c r="C62" s="4">
        <v>1900</v>
      </c>
    </row>
    <row r="98" spans="2:16" x14ac:dyDescent="0.45">
      <c r="B98">
        <v>3000</v>
      </c>
    </row>
    <row r="99" spans="2:16" x14ac:dyDescent="0.45">
      <c r="B99">
        <v>2500</v>
      </c>
      <c r="J99">
        <v>3000</v>
      </c>
    </row>
    <row r="100" spans="2:16" x14ac:dyDescent="0.45">
      <c r="B100">
        <v>2500</v>
      </c>
      <c r="J100">
        <v>600</v>
      </c>
    </row>
    <row r="101" spans="2:16" x14ac:dyDescent="0.45">
      <c r="B101">
        <v>800</v>
      </c>
    </row>
    <row r="102" spans="2:16" x14ac:dyDescent="0.45">
      <c r="B102">
        <v>700</v>
      </c>
    </row>
    <row r="106" spans="2:16" x14ac:dyDescent="0.45">
      <c r="B106">
        <f>SUM(B98:B102)</f>
        <v>9500</v>
      </c>
      <c r="D106">
        <f>B106-7000</f>
        <v>2500</v>
      </c>
    </row>
    <row r="107" spans="2:16" x14ac:dyDescent="0.45">
      <c r="P107">
        <v>126</v>
      </c>
    </row>
    <row r="108" spans="2:16" x14ac:dyDescent="0.45">
      <c r="P108" s="4">
        <v>12</v>
      </c>
    </row>
    <row r="109" spans="2:16" x14ac:dyDescent="0.45">
      <c r="P109" s="4">
        <v>10</v>
      </c>
    </row>
    <row r="110" spans="2:16" x14ac:dyDescent="0.45">
      <c r="P110" s="4">
        <v>20</v>
      </c>
    </row>
    <row r="111" spans="2:16" x14ac:dyDescent="0.45">
      <c r="P111" s="4">
        <v>20</v>
      </c>
    </row>
    <row r="112" spans="2:16" x14ac:dyDescent="0.45">
      <c r="P112" s="4">
        <v>20</v>
      </c>
    </row>
    <row r="113" spans="5:16" x14ac:dyDescent="0.45">
      <c r="P113" s="4">
        <v>3.99</v>
      </c>
    </row>
    <row r="114" spans="5:16" x14ac:dyDescent="0.45">
      <c r="P114" s="4">
        <v>100</v>
      </c>
    </row>
    <row r="115" spans="5:16" x14ac:dyDescent="0.45">
      <c r="E115">
        <v>1400</v>
      </c>
      <c r="P115" s="4">
        <v>75</v>
      </c>
    </row>
    <row r="116" spans="5:16" x14ac:dyDescent="0.45">
      <c r="E116">
        <v>1300</v>
      </c>
      <c r="P116" s="4">
        <v>60</v>
      </c>
    </row>
    <row r="117" spans="5:16" x14ac:dyDescent="0.45">
      <c r="E117">
        <v>950</v>
      </c>
      <c r="P117" s="4"/>
    </row>
    <row r="118" spans="5:16" x14ac:dyDescent="0.45">
      <c r="P118" s="4">
        <v>70</v>
      </c>
    </row>
    <row r="121" spans="5:16" x14ac:dyDescent="0.45">
      <c r="E121">
        <f>SUM(E115:E119)</f>
        <v>3650</v>
      </c>
    </row>
    <row r="125" spans="5:16" x14ac:dyDescent="0.45">
      <c r="P125">
        <f>SUM(P105:P122)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workbookViewId="0">
      <selection activeCell="A2" sqref="A2"/>
    </sheetView>
  </sheetViews>
  <sheetFormatPr baseColWidth="10" defaultRowHeight="15.9" x14ac:dyDescent="0.45"/>
  <cols>
    <col min="7" max="7" width="12" bestFit="1" customWidth="1"/>
  </cols>
  <sheetData>
    <row r="1" spans="1:15" x14ac:dyDescent="0.45">
      <c r="A1" t="s">
        <v>57</v>
      </c>
      <c r="B1" t="s">
        <v>7</v>
      </c>
    </row>
    <row r="2" spans="1:15" x14ac:dyDescent="0.45">
      <c r="A2">
        <v>11500</v>
      </c>
      <c r="B2">
        <v>10000</v>
      </c>
      <c r="G2" t="s">
        <v>64</v>
      </c>
    </row>
    <row r="3" spans="1:15" x14ac:dyDescent="0.45">
      <c r="G3" t="s">
        <v>65</v>
      </c>
      <c r="H3">
        <v>3000</v>
      </c>
    </row>
    <row r="4" spans="1:15" x14ac:dyDescent="0.45">
      <c r="G4" t="s">
        <v>66</v>
      </c>
      <c r="H4">
        <v>4000</v>
      </c>
    </row>
    <row r="5" spans="1:15" x14ac:dyDescent="0.45">
      <c r="G5" t="s">
        <v>67</v>
      </c>
      <c r="H5">
        <v>3000</v>
      </c>
      <c r="J5">
        <v>1500</v>
      </c>
    </row>
    <row r="6" spans="1:15" x14ac:dyDescent="0.4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4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4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4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4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4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45">
      <c r="J12">
        <v>300</v>
      </c>
      <c r="L12" t="s">
        <v>259</v>
      </c>
      <c r="M12">
        <v>500</v>
      </c>
    </row>
    <row r="13" spans="1:15" x14ac:dyDescent="0.45">
      <c r="L13" t="s">
        <v>68</v>
      </c>
      <c r="M13">
        <v>500</v>
      </c>
    </row>
    <row r="14" spans="1:15" x14ac:dyDescent="0.45">
      <c r="J14">
        <f>SUM(J5:J12)</f>
        <v>5116</v>
      </c>
      <c r="L14" t="s">
        <v>90</v>
      </c>
    </row>
    <row r="15" spans="1:15" x14ac:dyDescent="0.45">
      <c r="L15" t="s">
        <v>67</v>
      </c>
      <c r="M15">
        <v>500</v>
      </c>
    </row>
    <row r="16" spans="1:15" x14ac:dyDescent="0.45">
      <c r="I16" t="s">
        <v>21</v>
      </c>
      <c r="J16">
        <f>J14-M22</f>
        <v>1116</v>
      </c>
      <c r="L16" t="s">
        <v>298</v>
      </c>
    </row>
    <row r="17" spans="1:15" x14ac:dyDescent="0.45">
      <c r="O17" t="s">
        <v>70</v>
      </c>
    </row>
    <row r="19" spans="1:15" x14ac:dyDescent="0.45">
      <c r="F19" t="s">
        <v>4</v>
      </c>
      <c r="H19">
        <f>SUM(H3:H17)</f>
        <v>32000</v>
      </c>
    </row>
    <row r="20" spans="1:15" x14ac:dyDescent="0.45">
      <c r="A20" t="s">
        <v>21</v>
      </c>
      <c r="B20">
        <f>B6-F41</f>
        <v>13000</v>
      </c>
    </row>
    <row r="22" spans="1:15" x14ac:dyDescent="0.45">
      <c r="M22">
        <f>SUM(M7:M20)</f>
        <v>4000</v>
      </c>
    </row>
    <row r="24" spans="1:15" x14ac:dyDescent="0.45">
      <c r="A24" s="9" t="s">
        <v>73</v>
      </c>
      <c r="B24" s="9"/>
      <c r="C24" s="9"/>
      <c r="D24" s="9"/>
      <c r="E24" s="9"/>
      <c r="F24" s="9"/>
    </row>
    <row r="25" spans="1:15" x14ac:dyDescent="0.45">
      <c r="A25" s="9"/>
      <c r="B25" s="9"/>
      <c r="C25" s="9"/>
      <c r="D25" s="9"/>
      <c r="E25" s="9"/>
      <c r="F25" s="9"/>
    </row>
    <row r="26" spans="1:15" x14ac:dyDescent="0.4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45">
      <c r="A27" s="9" t="s">
        <v>81</v>
      </c>
      <c r="B27" s="9">
        <v>500</v>
      </c>
      <c r="C27" s="9"/>
      <c r="D27" s="9"/>
      <c r="E27" s="9"/>
      <c r="F27" s="9"/>
    </row>
    <row r="28" spans="1:15" x14ac:dyDescent="0.45">
      <c r="A28" s="9" t="s">
        <v>87</v>
      </c>
      <c r="B28" s="9"/>
      <c r="C28" s="9">
        <v>1000</v>
      </c>
      <c r="D28" s="9"/>
      <c r="E28" s="9"/>
      <c r="F28" s="9"/>
    </row>
    <row r="29" spans="1:15" x14ac:dyDescent="0.45">
      <c r="A29" s="9" t="s">
        <v>88</v>
      </c>
      <c r="B29" s="9">
        <v>500</v>
      </c>
      <c r="C29" s="9"/>
      <c r="D29" s="9"/>
      <c r="E29" s="9"/>
      <c r="F29" s="9"/>
    </row>
    <row r="30" spans="1:15" x14ac:dyDescent="0.45">
      <c r="A30" s="9" t="s">
        <v>69</v>
      </c>
      <c r="B30" s="9"/>
      <c r="C30" s="9">
        <v>1000</v>
      </c>
      <c r="D30" s="9"/>
      <c r="E30" s="9"/>
      <c r="F30" s="9"/>
    </row>
    <row r="31" spans="1:15" x14ac:dyDescent="0.45">
      <c r="A31" s="9" t="s">
        <v>89</v>
      </c>
      <c r="B31" s="9">
        <v>500</v>
      </c>
      <c r="C31" s="9"/>
      <c r="D31" s="9"/>
      <c r="E31" s="9"/>
      <c r="F31" s="9"/>
    </row>
    <row r="32" spans="1:15" x14ac:dyDescent="0.4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45">
      <c r="A33" s="9" t="s">
        <v>90</v>
      </c>
      <c r="B33" s="9">
        <v>600</v>
      </c>
      <c r="C33" s="9"/>
      <c r="D33" s="9"/>
      <c r="E33" s="9"/>
      <c r="F33" s="9"/>
    </row>
    <row r="34" spans="1:6" x14ac:dyDescent="0.45">
      <c r="A34" s="9" t="s">
        <v>306</v>
      </c>
      <c r="B34" s="9">
        <v>500</v>
      </c>
      <c r="C34" s="9">
        <v>1000</v>
      </c>
      <c r="D34" s="9"/>
      <c r="E34" s="9"/>
      <c r="F34" s="9"/>
    </row>
    <row r="35" spans="1:6" x14ac:dyDescent="0.45">
      <c r="A35" s="9" t="s">
        <v>307</v>
      </c>
      <c r="B35" s="9">
        <v>500</v>
      </c>
      <c r="C35" s="9"/>
      <c r="D35" s="9"/>
      <c r="E35" s="9"/>
      <c r="F35" s="9"/>
    </row>
    <row r="36" spans="1:6" x14ac:dyDescent="0.45">
      <c r="A36" s="9" t="s">
        <v>65</v>
      </c>
      <c r="B36" s="9">
        <v>500</v>
      </c>
      <c r="C36" s="9">
        <v>500</v>
      </c>
      <c r="D36" s="9"/>
      <c r="E36" s="9"/>
      <c r="F36" s="9"/>
    </row>
    <row r="37" spans="1:6" x14ac:dyDescent="0.45">
      <c r="A37" s="9"/>
      <c r="B37" s="9"/>
      <c r="C37" s="9"/>
      <c r="D37" s="9"/>
      <c r="E37" s="9"/>
      <c r="F37" s="9"/>
    </row>
    <row r="38" spans="1:6" x14ac:dyDescent="0.45">
      <c r="A38" s="9"/>
      <c r="B38" s="9"/>
      <c r="C38" s="9"/>
      <c r="D38" s="9"/>
      <c r="E38" s="9"/>
      <c r="F38" s="9"/>
    </row>
    <row r="39" spans="1:6" x14ac:dyDescent="0.45">
      <c r="A39" s="9"/>
      <c r="B39" s="9"/>
      <c r="C39" s="9"/>
      <c r="D39" s="9"/>
      <c r="E39" s="9"/>
      <c r="F39" s="9"/>
    </row>
    <row r="40" spans="1:6" x14ac:dyDescent="0.45">
      <c r="A40" s="9"/>
      <c r="B40" s="9"/>
      <c r="C40" s="9"/>
      <c r="D40" s="9"/>
      <c r="E40" s="9"/>
      <c r="F40" s="9"/>
    </row>
    <row r="41" spans="1:6" x14ac:dyDescent="0.45">
      <c r="A41" s="10" t="s">
        <v>4</v>
      </c>
      <c r="B41" s="10">
        <f>SUM(B27:B39)</f>
        <v>4000</v>
      </c>
      <c r="C41" s="10">
        <f>SUM(C27:C39)</f>
        <v>4500</v>
      </c>
      <c r="D41" s="10">
        <f>SUM(D27:D39)</f>
        <v>0</v>
      </c>
      <c r="E41" s="10">
        <f>SUM(E27:E39)</f>
        <v>0</v>
      </c>
      <c r="F41" s="10">
        <f>SUM(B41:E41)</f>
        <v>8500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35" workbookViewId="0">
      <selection activeCell="F34" sqref="F34"/>
    </sheetView>
  </sheetViews>
  <sheetFormatPr baseColWidth="10" defaultRowHeight="15.9" x14ac:dyDescent="0.45"/>
  <cols>
    <col min="1" max="1" width="11.140625" bestFit="1" customWidth="1"/>
    <col min="4" max="4" width="18.7109375" customWidth="1"/>
    <col min="5" max="5" width="14" bestFit="1" customWidth="1"/>
    <col min="6" max="6" width="22.2109375" customWidth="1"/>
    <col min="7" max="7" width="13" bestFit="1" customWidth="1"/>
    <col min="9" max="9" width="20.85546875" bestFit="1" customWidth="1"/>
  </cols>
  <sheetData>
    <row r="1" spans="1:10" x14ac:dyDescent="0.4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4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4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4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4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4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4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4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4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4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4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4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4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4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45">
      <c r="A28" t="s">
        <v>132</v>
      </c>
      <c r="B28" t="s">
        <v>193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45">
      <c r="A30" t="s">
        <v>194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4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45">
      <c r="A34" t="s">
        <v>132</v>
      </c>
      <c r="B34" t="s">
        <v>193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45">
      <c r="A36" t="s">
        <v>194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9" x14ac:dyDescent="0.45"/>
  <cols>
    <col min="1" max="1" width="19.35546875" bestFit="1" customWidth="1"/>
    <col min="2" max="2" width="12" bestFit="1" customWidth="1"/>
    <col min="5" max="5" width="15.140625" bestFit="1" customWidth="1"/>
    <col min="8" max="8" width="16" bestFit="1" customWidth="1"/>
    <col min="11" max="11" width="14.7109375" bestFit="1" customWidth="1"/>
    <col min="12" max="12" width="14.85546875" bestFit="1" customWidth="1"/>
    <col min="14" max="14" width="16.140625" customWidth="1"/>
  </cols>
  <sheetData>
    <row r="1" spans="1:15" x14ac:dyDescent="0.45">
      <c r="A1" t="s">
        <v>91</v>
      </c>
      <c r="D1" t="s">
        <v>92</v>
      </c>
      <c r="H1" t="s">
        <v>94</v>
      </c>
      <c r="L1" t="s">
        <v>105</v>
      </c>
    </row>
    <row r="2" spans="1:15" x14ac:dyDescent="0.4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45">
      <c r="D3" t="s">
        <v>93</v>
      </c>
      <c r="E3">
        <v>500000</v>
      </c>
      <c r="H3" t="s">
        <v>96</v>
      </c>
      <c r="J3">
        <v>432000</v>
      </c>
    </row>
    <row r="4" spans="1:15" x14ac:dyDescent="0.45">
      <c r="D4" t="s">
        <v>93</v>
      </c>
      <c r="E4">
        <v>300000</v>
      </c>
      <c r="H4" t="s">
        <v>97</v>
      </c>
      <c r="J4">
        <v>100000</v>
      </c>
    </row>
    <row r="5" spans="1:15" x14ac:dyDescent="0.45">
      <c r="D5" t="s">
        <v>93</v>
      </c>
      <c r="E5">
        <v>16000</v>
      </c>
      <c r="H5" t="s">
        <v>98</v>
      </c>
      <c r="J5">
        <v>25000</v>
      </c>
    </row>
    <row r="6" spans="1:15" x14ac:dyDescent="0.4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4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4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4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45">
      <c r="D10" t="s">
        <v>93</v>
      </c>
      <c r="E10">
        <v>113000</v>
      </c>
      <c r="H10" t="s">
        <v>103</v>
      </c>
      <c r="J10">
        <v>20000</v>
      </c>
    </row>
    <row r="11" spans="1:15" x14ac:dyDescent="0.45">
      <c r="D11" t="s">
        <v>93</v>
      </c>
      <c r="E11">
        <v>500000</v>
      </c>
      <c r="H11" t="s">
        <v>104</v>
      </c>
      <c r="J11">
        <v>32000</v>
      </c>
    </row>
    <row r="12" spans="1:15" x14ac:dyDescent="0.45">
      <c r="D12" t="s">
        <v>133</v>
      </c>
      <c r="E12">
        <v>466000</v>
      </c>
      <c r="H12" t="s">
        <v>106</v>
      </c>
      <c r="J12">
        <v>125000</v>
      </c>
    </row>
    <row r="13" spans="1:15" x14ac:dyDescent="0.45">
      <c r="D13" t="s">
        <v>150</v>
      </c>
      <c r="E13">
        <v>450000</v>
      </c>
      <c r="H13" t="s">
        <v>109</v>
      </c>
      <c r="J13">
        <v>16000</v>
      </c>
    </row>
    <row r="14" spans="1:15" x14ac:dyDescent="0.45">
      <c r="D14" t="s">
        <v>150</v>
      </c>
      <c r="E14">
        <v>1000000</v>
      </c>
      <c r="H14" t="s">
        <v>120</v>
      </c>
      <c r="J14">
        <v>500000</v>
      </c>
    </row>
    <row r="15" spans="1:15" x14ac:dyDescent="0.45">
      <c r="D15" t="s">
        <v>150</v>
      </c>
      <c r="E15">
        <v>1000000</v>
      </c>
      <c r="H15" t="s">
        <v>121</v>
      </c>
      <c r="J15">
        <v>400000</v>
      </c>
    </row>
    <row r="16" spans="1:15" x14ac:dyDescent="0.45">
      <c r="D16" t="s">
        <v>166</v>
      </c>
      <c r="E16">
        <v>500000</v>
      </c>
      <c r="H16" t="s">
        <v>122</v>
      </c>
      <c r="J16">
        <v>460000</v>
      </c>
    </row>
    <row r="17" spans="1:15" x14ac:dyDescent="0.45">
      <c r="D17" t="s">
        <v>110</v>
      </c>
      <c r="E17">
        <v>850000</v>
      </c>
      <c r="H17" t="s">
        <v>123</v>
      </c>
      <c r="J17">
        <v>45000</v>
      </c>
    </row>
    <row r="18" spans="1:15" x14ac:dyDescent="0.45">
      <c r="D18" t="s">
        <v>110</v>
      </c>
      <c r="E18">
        <v>250000</v>
      </c>
    </row>
    <row r="19" spans="1:15" x14ac:dyDescent="0.45">
      <c r="D19" t="s">
        <v>110</v>
      </c>
      <c r="E19">
        <v>125000</v>
      </c>
    </row>
    <row r="23" spans="1:15" x14ac:dyDescent="0.4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45">
      <c r="H24" t="s">
        <v>23</v>
      </c>
      <c r="J24">
        <v>600000</v>
      </c>
    </row>
    <row r="25" spans="1:15" x14ac:dyDescent="0.4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45">
      <c r="H26" t="s">
        <v>134</v>
      </c>
      <c r="J26">
        <v>113000</v>
      </c>
    </row>
    <row r="27" spans="1:15" x14ac:dyDescent="0.45">
      <c r="H27" t="s">
        <v>168</v>
      </c>
      <c r="J27">
        <v>300000</v>
      </c>
    </row>
    <row r="28" spans="1:15" x14ac:dyDescent="0.45">
      <c r="H28" t="s">
        <v>167</v>
      </c>
      <c r="J28">
        <v>550500</v>
      </c>
    </row>
    <row r="31" spans="1:15" x14ac:dyDescent="0.45">
      <c r="A31" t="s">
        <v>107</v>
      </c>
      <c r="B31">
        <f>A2-E25</f>
        <v>-4870000</v>
      </c>
    </row>
    <row r="32" spans="1:15" x14ac:dyDescent="0.45">
      <c r="A32" t="s">
        <v>108</v>
      </c>
      <c r="B32">
        <f>A2-L2</f>
        <v>-198500</v>
      </c>
    </row>
    <row r="37" spans="1:12" x14ac:dyDescent="0.45">
      <c r="A37" t="s">
        <v>111</v>
      </c>
      <c r="E37" t="s">
        <v>135</v>
      </c>
    </row>
    <row r="38" spans="1:12" x14ac:dyDescent="0.4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4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4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4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4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4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4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45">
      <c r="E45" t="s">
        <v>143</v>
      </c>
      <c r="F45">
        <v>120000</v>
      </c>
    </row>
    <row r="46" spans="1:12" x14ac:dyDescent="0.45">
      <c r="E46" t="s">
        <v>144</v>
      </c>
      <c r="F46">
        <v>1300000</v>
      </c>
    </row>
    <row r="47" spans="1:12" x14ac:dyDescent="0.45">
      <c r="H47" t="s">
        <v>147</v>
      </c>
      <c r="I47">
        <f>SUM(I40:I44)</f>
        <v>966000</v>
      </c>
    </row>
    <row r="50" spans="1:14" x14ac:dyDescent="0.4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45">
      <c r="M52" t="s">
        <v>236</v>
      </c>
      <c r="N52">
        <f>2000*655</f>
        <v>1310000</v>
      </c>
    </row>
    <row r="53" spans="1:14" x14ac:dyDescent="0.4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4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45">
      <c r="B55" t="s">
        <v>233</v>
      </c>
      <c r="C55" t="s">
        <v>234</v>
      </c>
      <c r="M55">
        <v>400000</v>
      </c>
    </row>
    <row r="56" spans="1:14" x14ac:dyDescent="0.45">
      <c r="A56" t="s">
        <v>229</v>
      </c>
      <c r="B56">
        <v>300000</v>
      </c>
      <c r="C56">
        <v>404000</v>
      </c>
      <c r="M56">
        <v>200000</v>
      </c>
    </row>
    <row r="57" spans="1:14" x14ac:dyDescent="0.45">
      <c r="A57" t="s">
        <v>230</v>
      </c>
      <c r="B57">
        <v>400000</v>
      </c>
      <c r="C57">
        <v>370000</v>
      </c>
      <c r="M57">
        <v>310000</v>
      </c>
    </row>
    <row r="58" spans="1:14" x14ac:dyDescent="0.4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45">
      <c r="A59" t="s">
        <v>232</v>
      </c>
      <c r="B59">
        <v>450000</v>
      </c>
    </row>
    <row r="63" spans="1:14" x14ac:dyDescent="0.45">
      <c r="B63">
        <f>SUM(B56:L59)</f>
        <v>6169000</v>
      </c>
    </row>
    <row r="64" spans="1:14" x14ac:dyDescent="0.45">
      <c r="L64" t="s">
        <v>4</v>
      </c>
      <c r="M64">
        <f>SUM(M53:M62)</f>
        <v>1310000</v>
      </c>
    </row>
    <row r="66" spans="1:18" x14ac:dyDescent="0.45">
      <c r="B66" t="s">
        <v>243</v>
      </c>
      <c r="C66" t="s">
        <v>245</v>
      </c>
      <c r="D66" t="s">
        <v>247</v>
      </c>
    </row>
    <row r="67" spans="1:18" x14ac:dyDescent="0.4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45">
      <c r="A68" s="1" t="s">
        <v>240</v>
      </c>
      <c r="B68" s="1">
        <v>396250</v>
      </c>
      <c r="C68" s="1">
        <v>396250</v>
      </c>
    </row>
    <row r="69" spans="1:18" x14ac:dyDescent="0.45">
      <c r="A69" s="1" t="s">
        <v>241</v>
      </c>
      <c r="B69" s="1">
        <v>350000</v>
      </c>
      <c r="C69" s="1">
        <v>350000</v>
      </c>
    </row>
    <row r="70" spans="1:18" x14ac:dyDescent="0.45">
      <c r="A70" s="1" t="s">
        <v>242</v>
      </c>
      <c r="B70" s="1">
        <v>400000</v>
      </c>
      <c r="C70" s="1">
        <v>400000</v>
      </c>
    </row>
    <row r="71" spans="1:18" x14ac:dyDescent="0.4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4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4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4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4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4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4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4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4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4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45">
      <c r="A81" s="1" t="s">
        <v>289</v>
      </c>
      <c r="B81" s="1">
        <v>480000</v>
      </c>
      <c r="C81" s="1">
        <f>280000+100000+110000</f>
        <v>490000</v>
      </c>
    </row>
    <row r="82" spans="1:18" x14ac:dyDescent="0.45">
      <c r="A82" s="1" t="s">
        <v>287</v>
      </c>
      <c r="B82" s="1">
        <v>292000</v>
      </c>
      <c r="C82" s="1">
        <f>292000</f>
        <v>292000</v>
      </c>
    </row>
    <row r="83" spans="1:18" x14ac:dyDescent="0.45">
      <c r="A83" t="s">
        <v>290</v>
      </c>
      <c r="B83">
        <v>200000</v>
      </c>
      <c r="C83">
        <f>50000+50000</f>
        <v>100000</v>
      </c>
    </row>
    <row r="84" spans="1:18" x14ac:dyDescent="0.45">
      <c r="A84" s="1" t="s">
        <v>296</v>
      </c>
      <c r="B84" s="1">
        <v>580000</v>
      </c>
      <c r="C84" s="1">
        <v>580000</v>
      </c>
    </row>
    <row r="85" spans="1:18" x14ac:dyDescent="0.45">
      <c r="A85" s="1" t="s">
        <v>110</v>
      </c>
      <c r="B85" s="1">
        <v>500000</v>
      </c>
      <c r="C85" s="1">
        <v>500000</v>
      </c>
    </row>
    <row r="86" spans="1:18" x14ac:dyDescent="0.45">
      <c r="A86" s="1" t="s">
        <v>302</v>
      </c>
      <c r="B86" s="1">
        <v>200000</v>
      </c>
      <c r="C86" s="1">
        <v>200000</v>
      </c>
    </row>
    <row r="87" spans="1:18" x14ac:dyDescent="0.45">
      <c r="A87" s="1" t="s">
        <v>300</v>
      </c>
      <c r="B87" s="1">
        <v>250000</v>
      </c>
      <c r="C87" s="1">
        <v>250000</v>
      </c>
    </row>
    <row r="88" spans="1:18" x14ac:dyDescent="0.45">
      <c r="A88" s="1" t="s">
        <v>301</v>
      </c>
      <c r="B88" s="1">
        <v>100000</v>
      </c>
      <c r="C88" s="1">
        <v>100000</v>
      </c>
    </row>
    <row r="89" spans="1:18" x14ac:dyDescent="0.45">
      <c r="A89" s="1" t="s">
        <v>305</v>
      </c>
      <c r="B89" s="1">
        <v>360000</v>
      </c>
      <c r="C89" s="1">
        <v>360000</v>
      </c>
    </row>
    <row r="90" spans="1:18" x14ac:dyDescent="0.45">
      <c r="A90" s="1" t="s">
        <v>295</v>
      </c>
      <c r="B90" s="1">
        <v>350000</v>
      </c>
      <c r="C90" s="1">
        <v>350000</v>
      </c>
    </row>
    <row r="91" spans="1:18" x14ac:dyDescent="0.45">
      <c r="A91" s="1" t="s">
        <v>265</v>
      </c>
      <c r="B91" s="1">
        <v>200000</v>
      </c>
      <c r="C91" s="1">
        <f>200000</f>
        <v>200000</v>
      </c>
    </row>
    <row r="93" spans="1:18" x14ac:dyDescent="0.4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4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4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45">
      <c r="L96">
        <v>130</v>
      </c>
      <c r="O96">
        <v>6</v>
      </c>
      <c r="R96">
        <v>67</v>
      </c>
    </row>
    <row r="97" spans="1:18" x14ac:dyDescent="0.4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4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4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9" x14ac:dyDescent="0.45"/>
  <cols>
    <col min="1" max="1" width="30.140625" bestFit="1" customWidth="1"/>
    <col min="2" max="2" width="18.85546875" bestFit="1" customWidth="1"/>
  </cols>
  <sheetData>
    <row r="3" spans="1:7" x14ac:dyDescent="0.45">
      <c r="A3" s="1" t="s">
        <v>175</v>
      </c>
      <c r="B3" s="1"/>
      <c r="C3" s="1"/>
      <c r="D3" s="1"/>
      <c r="E3" s="1"/>
    </row>
    <row r="4" spans="1:7" x14ac:dyDescent="0.45">
      <c r="A4" s="1"/>
      <c r="B4" s="1"/>
      <c r="C4" s="1" t="s">
        <v>176</v>
      </c>
      <c r="D4" s="1"/>
      <c r="E4" s="1" t="s">
        <v>177</v>
      </c>
    </row>
    <row r="5" spans="1:7" x14ac:dyDescent="0.4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4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45">
      <c r="A7" s="1"/>
      <c r="B7" s="1" t="s">
        <v>184</v>
      </c>
      <c r="C7" s="1"/>
      <c r="D7" s="1"/>
      <c r="E7" s="1">
        <v>60000</v>
      </c>
    </row>
    <row r="8" spans="1:7" x14ac:dyDescent="0.45">
      <c r="A8" s="1"/>
      <c r="B8" s="1" t="s">
        <v>173</v>
      </c>
      <c r="C8" s="1">
        <v>60000</v>
      </c>
      <c r="D8" s="1"/>
      <c r="E8" s="1">
        <v>60000</v>
      </c>
    </row>
    <row r="9" spans="1:7" x14ac:dyDescent="0.4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45">
      <c r="A10" s="1"/>
      <c r="B10" s="1"/>
      <c r="C10" s="1"/>
      <c r="D10" s="1"/>
      <c r="E10" s="1"/>
    </row>
    <row r="11" spans="1:7" x14ac:dyDescent="0.4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45">
      <c r="A14" t="s">
        <v>178</v>
      </c>
      <c r="B14" t="s">
        <v>179</v>
      </c>
      <c r="C14">
        <v>2000000</v>
      </c>
      <c r="E14" s="1">
        <v>500000</v>
      </c>
    </row>
    <row r="15" spans="1:7" x14ac:dyDescent="0.45">
      <c r="B15" t="s">
        <v>183</v>
      </c>
      <c r="C15">
        <v>600000</v>
      </c>
      <c r="E15" s="1">
        <v>600000</v>
      </c>
    </row>
    <row r="16" spans="1:7" x14ac:dyDescent="0.45">
      <c r="B16" t="s">
        <v>180</v>
      </c>
      <c r="C16">
        <v>45000</v>
      </c>
      <c r="E16" s="1">
        <v>45000</v>
      </c>
    </row>
    <row r="17" spans="2:7" x14ac:dyDescent="0.45">
      <c r="B17" t="s">
        <v>181</v>
      </c>
      <c r="C17">
        <v>150000</v>
      </c>
      <c r="E17" s="1">
        <v>150000</v>
      </c>
    </row>
    <row r="18" spans="2:7" x14ac:dyDescent="0.45">
      <c r="B18" t="s">
        <v>185</v>
      </c>
      <c r="E18" s="1">
        <v>32000</v>
      </c>
    </row>
    <row r="19" spans="2:7" x14ac:dyDescent="0.45">
      <c r="B19" t="s">
        <v>186</v>
      </c>
      <c r="D19" t="s">
        <v>110</v>
      </c>
      <c r="E19" s="1">
        <v>1390000</v>
      </c>
    </row>
    <row r="20" spans="2:7" x14ac:dyDescent="0.45">
      <c r="B20" t="s">
        <v>182</v>
      </c>
      <c r="C20">
        <v>14000</v>
      </c>
      <c r="E20" s="1">
        <v>14000</v>
      </c>
    </row>
    <row r="21" spans="2:7" x14ac:dyDescent="0.45">
      <c r="B21" t="s">
        <v>179</v>
      </c>
      <c r="D21" t="s">
        <v>110</v>
      </c>
      <c r="E21" s="1">
        <v>500000</v>
      </c>
    </row>
    <row r="22" spans="2:7" x14ac:dyDescent="0.4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9" x14ac:dyDescent="0.45"/>
  <cols>
    <col min="4" max="4" width="11.35546875" bestFit="1" customWidth="1"/>
    <col min="12" max="12" width="13.140625" bestFit="1" customWidth="1"/>
    <col min="15" max="15" width="15.140625" bestFit="1" customWidth="1"/>
  </cols>
  <sheetData>
    <row r="2" spans="1:16" x14ac:dyDescent="0.45">
      <c r="L2" t="s">
        <v>36</v>
      </c>
      <c r="O2" t="s">
        <v>42</v>
      </c>
    </row>
    <row r="4" spans="1:16" x14ac:dyDescent="0.4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45">
      <c r="L5" t="s">
        <v>37</v>
      </c>
      <c r="M5">
        <v>3057</v>
      </c>
      <c r="O5" t="s">
        <v>44</v>
      </c>
      <c r="P5">
        <v>200</v>
      </c>
    </row>
    <row r="6" spans="1:16" x14ac:dyDescent="0.45">
      <c r="A6" t="s">
        <v>39</v>
      </c>
      <c r="B6">
        <v>2300</v>
      </c>
      <c r="L6" t="s">
        <v>40</v>
      </c>
      <c r="M6">
        <v>1525</v>
      </c>
    </row>
    <row r="7" spans="1:16" x14ac:dyDescent="0.4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45">
      <c r="A8" t="s">
        <v>38</v>
      </c>
      <c r="B8">
        <v>2260</v>
      </c>
      <c r="L8" t="s">
        <v>41</v>
      </c>
      <c r="M8">
        <v>2310</v>
      </c>
    </row>
    <row r="9" spans="1:16" x14ac:dyDescent="0.4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45">
      <c r="L10" t="s">
        <v>45</v>
      </c>
      <c r="M10">
        <v>100</v>
      </c>
    </row>
    <row r="13" spans="1:16" x14ac:dyDescent="0.45">
      <c r="G13" t="s">
        <v>34</v>
      </c>
    </row>
    <row r="14" spans="1:16" x14ac:dyDescent="0.45">
      <c r="A14" t="s">
        <v>33</v>
      </c>
      <c r="C14">
        <f>B9+E9</f>
        <v>500</v>
      </c>
    </row>
    <row r="19" spans="1:13" x14ac:dyDescent="0.4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45">
      <c r="A22" t="s">
        <v>30</v>
      </c>
      <c r="B22">
        <v>7640</v>
      </c>
      <c r="D22" t="s">
        <v>32</v>
      </c>
      <c r="E22">
        <v>3820</v>
      </c>
    </row>
    <row r="24" spans="1:13" x14ac:dyDescent="0.4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45">
      <c r="G28" t="s">
        <v>34</v>
      </c>
    </row>
    <row r="29" spans="1:13" x14ac:dyDescent="0.45">
      <c r="A29" t="s">
        <v>33</v>
      </c>
      <c r="C29">
        <f>B24+E24</f>
        <v>3540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627F-7AEE-416D-9F04-F7086E9168AB}">
  <dimension ref="A4:G21"/>
  <sheetViews>
    <sheetView tabSelected="1" workbookViewId="0">
      <selection activeCell="G4" sqref="G4"/>
    </sheetView>
  </sheetViews>
  <sheetFormatPr baseColWidth="10" defaultRowHeight="15.9" x14ac:dyDescent="0.45"/>
  <cols>
    <col min="1" max="1" width="13.140625" bestFit="1" customWidth="1"/>
    <col min="2" max="2" width="19.7109375" bestFit="1" customWidth="1"/>
  </cols>
  <sheetData>
    <row r="4" spans="1:7" x14ac:dyDescent="0.45">
      <c r="B4" t="s">
        <v>313</v>
      </c>
      <c r="G4">
        <f>100*3500</f>
        <v>350000</v>
      </c>
    </row>
    <row r="5" spans="1:7" x14ac:dyDescent="0.45">
      <c r="A5" t="s">
        <v>314</v>
      </c>
      <c r="B5">
        <v>53000</v>
      </c>
    </row>
    <row r="6" spans="1:7" x14ac:dyDescent="0.45">
      <c r="A6" t="s">
        <v>315</v>
      </c>
      <c r="B6">
        <v>30000</v>
      </c>
    </row>
    <row r="8" spans="1:7" x14ac:dyDescent="0.45">
      <c r="A8" t="s">
        <v>316</v>
      </c>
      <c r="B8">
        <v>54000</v>
      </c>
    </row>
    <row r="9" spans="1:7" x14ac:dyDescent="0.45">
      <c r="A9" t="s">
        <v>317</v>
      </c>
      <c r="B9">
        <v>30000</v>
      </c>
    </row>
    <row r="10" spans="1:7" x14ac:dyDescent="0.45">
      <c r="B10">
        <v>45000</v>
      </c>
    </row>
    <row r="11" spans="1:7" x14ac:dyDescent="0.45">
      <c r="B11">
        <v>5000</v>
      </c>
    </row>
    <row r="12" spans="1:7" x14ac:dyDescent="0.45">
      <c r="A12" t="s">
        <v>318</v>
      </c>
      <c r="B12">
        <v>54000</v>
      </c>
    </row>
    <row r="21" spans="1:2" x14ac:dyDescent="0.45">
      <c r="A21" t="s">
        <v>4</v>
      </c>
      <c r="B21">
        <f>SUM(B8:B18)</f>
        <v>188000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28</vt:i4>
      </vt:variant>
    </vt:vector>
  </HeadingPairs>
  <TitlesOfParts>
    <vt:vector size="28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AOUT25</vt:lpstr>
      <vt:lpstr>Credit</vt:lpstr>
      <vt:lpstr>Entreprise</vt:lpstr>
      <vt:lpstr>Construction </vt:lpstr>
      <vt:lpstr>Construction2</vt:lpstr>
      <vt:lpstr>Terrain</vt:lpstr>
      <vt:lpstr>Poulayer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2025-10-11T22:20:48Z</dcterms:modified>
</cp:coreProperties>
</file>