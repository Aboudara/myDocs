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7EC9D1F1-9641-4DF3-B2D2-6B50F41A88C9}" xr6:coauthVersionLast="47" xr6:coauthVersionMax="47" xr10:uidLastSave="{00000000-0000-0000-0000-000000000000}"/>
  <bookViews>
    <workbookView xWindow="19080" yWindow="-120" windowWidth="29040" windowHeight="15840" firstSheet="24" activeTab="31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6" i="27" l="1"/>
  <c r="D79" i="27"/>
  <c r="E78" i="27"/>
  <c r="C78" i="27"/>
  <c r="C74" i="27"/>
  <c r="B90" i="27"/>
  <c r="C83" i="27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L88" i="27" l="1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7" i="27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<sst xmlns="http://schemas.openxmlformats.org/spreadsheetml/2006/main" count="1809" uniqueCount="461">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</sst>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opLeftCell="A16" workbookViewId="0">
      <selection activeCell="C31" sqref="C31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2616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18500</v>
      </c>
    </row>
    <row r="22" spans="1:15" x14ac:dyDescent="0.25">
      <c r="M22">
        <f>SUM(M7:M20)</f>
        <v>2500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abSelected="1" topLeftCell="A62" zoomScale="106" workbookViewId="0">
      <selection activeCell="C87" sqref="C87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  <c r="C78">
        <f>500000</f>
        <v>500000</v>
      </c>
      <c r="E78">
        <f>45*6750</f>
        <v>303750</v>
      </c>
    </row>
    <row r="79" spans="1:18" x14ac:dyDescent="0.25">
      <c r="A79" t="s">
        <v>435</v>
      </c>
      <c r="B79">
        <v>450000</v>
      </c>
      <c r="C79">
        <v>250000</v>
      </c>
      <c r="D79">
        <f>30000+50000</f>
        <v>80000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t="s">
        <v>457</v>
      </c>
      <c r="B81">
        <v>480000</v>
      </c>
      <c r="C81">
        <v>280000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</f>
        <v>50000</v>
      </c>
    </row>
    <row r="84" spans="1:18" x14ac:dyDescent="0.25">
      <c r="A84" s="5" t="s">
        <v>433</v>
      </c>
      <c r="B84" s="5">
        <v>200000</v>
      </c>
      <c r="C84" s="5">
        <f>200000</f>
        <v>200000</v>
      </c>
    </row>
    <row r="86" spans="1:18" x14ac:dyDescent="0.25">
      <c r="A86" t="s">
        <v>6</v>
      </c>
      <c r="B86">
        <f>SUM(B67:B84)</f>
        <v>10122750</v>
      </c>
      <c r="C86">
        <f>SUM(C67:C84)+D79</f>
        <v>8161750</v>
      </c>
    </row>
    <row r="87" spans="1:18" x14ac:dyDescent="0.25">
      <c r="A87" t="s">
        <v>421</v>
      </c>
      <c r="B87">
        <f>B86/655</f>
        <v>15454.580152671755</v>
      </c>
      <c r="C87">
        <f>C86/655</f>
        <v>12460.687022900764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>
        <f>2000+4000+3000+800+1500</f>
        <v>11300</v>
      </c>
      <c r="C90" t="s">
        <v>234</v>
      </c>
      <c r="D90" t="s">
        <v>240</v>
      </c>
      <c r="E90" t="s">
        <v>460</v>
      </c>
      <c r="F90" t="s">
        <v>222</v>
      </c>
      <c r="G90" t="s">
        <v>459</v>
      </c>
    </row>
    <row r="92" spans="1:18" x14ac:dyDescent="0.25">
      <c r="A92" t="s">
        <v>99</v>
      </c>
      <c r="B92">
        <f>B90-C87</f>
        <v>-1160.6870229007636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2025-04-09T21:23:38Z</dcterms:modified>
</cp:coreProperties>
</file>