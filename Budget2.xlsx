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-projet\myDocs\"/>
    </mc:Choice>
  </mc:AlternateContent>
  <xr:revisionPtr revIDLastSave="0" documentId="13_ncr:1_{5A9C1B50-F41B-4289-A040-2D482859A564}" xr6:coauthVersionLast="47" xr6:coauthVersionMax="47" xr10:uidLastSave="{00000000-0000-0000-0000-000000000000}"/>
  <bookViews>
    <workbookView xWindow="-98" yWindow="-98" windowWidth="23596" windowHeight="15076" firstSheet="19" activeTab="22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125" sheetId="51" r:id="rId19"/>
    <sheet name="Juin25" sheetId="50" r:id="rId20"/>
    <sheet name="Juillet25" sheetId="52" r:id="rId21"/>
    <sheet name="AOUT25" sheetId="53" r:id="rId22"/>
    <sheet name="Credit" sheetId="28" r:id="rId23"/>
    <sheet name="Entreprise" sheetId="35" r:id="rId24"/>
    <sheet name="Construction " sheetId="27" r:id="rId25"/>
    <sheet name="Construction2" sheetId="39" r:id="rId26"/>
    <sheet name="Terrain" sheetId="18" r:id="rId27"/>
    <sheet name="Poulayer" sheetId="54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4" i="28" l="1"/>
  <c r="J16" i="28"/>
  <c r="H8" i="54"/>
  <c r="I10" i="54"/>
  <c r="G11" i="54"/>
  <c r="E8" i="54"/>
  <c r="G4" i="54"/>
  <c r="B21" i="54"/>
  <c r="P125" i="53"/>
  <c r="E121" i="53"/>
  <c r="B106" i="53"/>
  <c r="D106" i="53" s="1"/>
  <c r="F54" i="53"/>
  <c r="M39" i="53"/>
  <c r="E36" i="53"/>
  <c r="Q22" i="53"/>
  <c r="N22" i="53"/>
  <c r="P26" i="53" s="1"/>
  <c r="L29" i="53" s="1"/>
  <c r="I22" i="53"/>
  <c r="F22" i="53"/>
  <c r="C22" i="53"/>
  <c r="T14" i="53"/>
  <c r="P125" i="52"/>
  <c r="E121" i="52"/>
  <c r="B106" i="52"/>
  <c r="D106" i="52" s="1"/>
  <c r="F54" i="52"/>
  <c r="M39" i="52"/>
  <c r="E36" i="52"/>
  <c r="Q22" i="52"/>
  <c r="N22" i="52"/>
  <c r="P26" i="52" s="1"/>
  <c r="L29" i="52" s="1"/>
  <c r="I22" i="52"/>
  <c r="F22" i="52"/>
  <c r="C22" i="52"/>
  <c r="D26" i="52" s="1"/>
  <c r="T14" i="52"/>
  <c r="E34" i="35"/>
  <c r="B97" i="27"/>
  <c r="D79" i="27"/>
  <c r="H4" i="51"/>
  <c r="P125" i="51"/>
  <c r="E121" i="51"/>
  <c r="B106" i="51"/>
  <c r="D106" i="51" s="1"/>
  <c r="F54" i="51"/>
  <c r="M39" i="51"/>
  <c r="E36" i="51"/>
  <c r="P26" i="51"/>
  <c r="L29" i="51" s="1"/>
  <c r="Q22" i="51"/>
  <c r="N22" i="51"/>
  <c r="I22" i="51"/>
  <c r="F22" i="51"/>
  <c r="C22" i="51"/>
  <c r="D26" i="51" s="1"/>
  <c r="T14" i="51"/>
  <c r="P125" i="50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9" i="27"/>
  <c r="O99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9" i="27"/>
  <c r="R74" i="27"/>
  <c r="R73" i="27"/>
  <c r="R72" i="27"/>
  <c r="O73" i="27"/>
  <c r="O72" i="27"/>
  <c r="I74" i="27"/>
  <c r="L75" i="27"/>
  <c r="L74" i="27"/>
  <c r="L73" i="27"/>
  <c r="L72" i="27"/>
  <c r="C91" i="27"/>
  <c r="C67" i="27"/>
  <c r="B67" i="27"/>
  <c r="B73" i="27"/>
  <c r="C15" i="46"/>
  <c r="B75" i="27"/>
  <c r="D26" i="53" l="1"/>
  <c r="C29" i="53" s="1"/>
  <c r="J34" i="53" s="1"/>
  <c r="C34" i="53"/>
  <c r="C34" i="52"/>
  <c r="C29" i="52"/>
  <c r="J34" i="52" s="1"/>
  <c r="R95" i="27"/>
  <c r="C34" i="51"/>
  <c r="C29" i="51"/>
  <c r="J34" i="51" s="1"/>
  <c r="C29" i="50"/>
  <c r="J34" i="50" s="1"/>
  <c r="C34" i="50"/>
  <c r="C34" i="49"/>
  <c r="C93" i="27"/>
  <c r="C94" i="27" s="1"/>
  <c r="B99" i="27" s="1"/>
  <c r="L95" i="27"/>
  <c r="I95" i="27"/>
  <c r="O95" i="27"/>
  <c r="D26" i="48"/>
  <c r="C29" i="48" s="1"/>
  <c r="J34" i="48" s="1"/>
  <c r="M103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3" i="27"/>
  <c r="B9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C36" i="35"/>
  <c r="G34" i="35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G28" i="35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7" i="28"/>
  <c r="D47" i="28"/>
  <c r="E47" i="28"/>
  <c r="B47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I47" i="27" l="1"/>
  <c r="C34" i="48"/>
  <c r="D36" i="35"/>
  <c r="C29" i="46"/>
  <c r="J34" i="46" s="1"/>
  <c r="C34" i="46"/>
  <c r="C21" i="45"/>
  <c r="D25" i="45" s="1"/>
  <c r="C33" i="45" s="1"/>
  <c r="G36" i="35"/>
  <c r="F33" i="35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7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  <c r="F34" i="35"/>
  <c r="F36" i="35" s="1"/>
  <c r="E36" i="35"/>
</calcChain>
</file>

<file path=xl/sharedStrings.xml><?xml version="1.0" encoding="utf-8"?>
<sst xmlns="http://schemas.openxmlformats.org/spreadsheetml/2006/main" count="1619" uniqueCount="317">
  <si>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</si>
  <si>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</si>
  <si>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</si>
  <si>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</si>
  <si>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</si>
  <si>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</si>
  <si>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</si>
  <si>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</si>
  <si>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</si>
  <si>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</si>
  <si>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</si>
  <si>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</si>
  <si>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</si>
  <si>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</si>
  <si>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</si>
  <si>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</si>
  <si>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</si>
  <si>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</si>
  <si>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</si>
  <si>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</si>
  <si>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</si>
  <si>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</si>
  <si>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</si>
  <si>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</si>
  <si>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</si>
  <si>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</si>
  <si>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</si>
  <si>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</si>
  <si>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</si>
  <si>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</si>
  <si>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</si>
  <si>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</si>
  <si>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</si>
  <si>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</si>
  <si>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</si>
  <si>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</si>
  <si>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</si>
  <si>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</si>
  <si>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</si>
  <si>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</si>
  <si>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</si>
  <si>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</si>
  <si>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</si>
  <si>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</si>
  <si>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</si>
  <si>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</si>
  <si>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</si>
  <si>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</si>
  <si>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</si>
  <si>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</si>
  <si>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</si>
  <si>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</si>
  <si>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</si>
  <si>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</si>
  <si>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</si>
  <si>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</si>
  <si>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</si>
  <si>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</si>
  <si>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</si>
  <si>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</si>
  <si>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</si>
  <si>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</si>
  <si>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</si>
  <si>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</si>
  <si>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septembre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</si>
  <si>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</si>
  <si>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</si>
  <si>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</si>
  <si>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</si>
  <si>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</si>
  <si>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</si>
  <si>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</si>
  <si>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</si>
  <si>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</si>
  <si>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</si>
  <si>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</si>
  <si>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</si>
  <si>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</si>
  <si>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</si>
  <si>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</si>
  <si>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</si>
  <si>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</si>
  <si>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</si>
  <si>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</si>
  <si>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</si>
  <si>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</si>
  <si>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</si>
  <si>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</si>
  <si>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</si>
  <si>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</si>
  <si>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</si>
  <si>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</si>
  <si>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</si>
  <si>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</si>
  <si>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</si>
  <si>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</si>
  <si>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</si>
  <si>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</si>
  <si>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</si>
  <si>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</si>
  <si>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</si>
  <si>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</si>
  <si>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</si>
  <si>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</si>
  <si>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</si>
  <si>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</si>
  <si>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</si>
  <si>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</si>
  <si>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</si>
  <si>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</si>
  <si>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</si>
  <si>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</si>
  <si>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</si>
  <si>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</si>
  <si>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</si>
  <si>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</si>
  <si>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</si>
  <si>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</si>
  <si>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</si>
  <si>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</si>
  <si>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</si>
  <si>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</si>
  <si>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</si>
  <si>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</si>
  <si>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</si>
  <si>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</si>
  <si>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</si>
  <si>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</si>
  <si>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</si>
  <si>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</si>
  <si>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</si>
  <si>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</si>
  <si>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</si>
  <si>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</si>
  <si>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</si>
  <si>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</si>
  <si>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</si>
  <si>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</si>
  <si>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</si>
  <si>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</si>
  <si>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</si>
  <si>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</si>
  <si>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</si>
  <si>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</si>
  <si>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</si>
  <si>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</si>
  <si>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</si>
  <si>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</si>
  <si>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</si>
  <si>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</si>
  <si>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</si>
  <si>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</si>
  <si>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</si>
  <si>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</si>
  <si>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</si>
  <si>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</si>
  <si>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</si>
  <si>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</si>
  <si>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</si>
  <si>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</si>
  <si>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</si>
  <si>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</si>
  <si>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</si>
  <si>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</si>
  <si>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</si>
  <si>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</si>
  <si>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</si>
  <si>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</si>
  <si>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</si>
  <si>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</si>
  <si>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</si>
  <si>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</si>
  <si>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</si>
  <si>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</si>
  <si>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</si>
  <si>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</si>
  <si>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</si>
  <si>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</si>
  <si>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</si>
  <si>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</si>
  <si>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</si>
  <si>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</si>
  <si>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</si>
  <si>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</si>
  <si>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</si>
  <si>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</si>
  <si>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</si>
  <si>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</si>
  <si>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</si>
  <si>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</si>
  <si>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</si>
  <si>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</si>
  <si>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</si>
  <si>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</si>
  <si>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</si>
  <si>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</si>
  <si>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</si>
  <si>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</si>
  <si>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</si>
  <si>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</si>
  <si>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</si>
  <si>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</si>
  <si>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</si>
  <si>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</si>
  <si>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</si>
  <si>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</si>
  <si>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</si>
  <si>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</si>
  <si>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</si>
  <si>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</si>
  <si>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</si>
  <si>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</si>
  <si>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</si>
  <si>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</si>
  <si>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</si>
  <si>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</si>
  <si>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</si>
  <si>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</si>
  <si>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</si>
  <si>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</si>
  <si>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</si>
  <si>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</si>
  <si>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</si>
  <si>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</si>
  <si>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</si>
  <si>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</si>
  <si>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</si>
  <si>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</si>
  <si>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</si>
  <si>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</si>
  <si>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</si>
  <si>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</si>
  <si>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</si>
  <si>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</si>
  <si>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</si>
  <si>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</si>
  <si>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</si>
  <si>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</si>
  <si>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</si>
  <si>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</si>
  <si>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</si>
  <si>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</si>
  <si>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</si>
  <si>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</si>
  <si>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</si>
  <si>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</si>
  <si>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</si>
  <si>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</si>
  <si>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</si>
  <si>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</si>
  <si>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</si>
  <si>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</si>
  <si>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</si>
  <si>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</si>
  <si>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</si>
  <si>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</si>
  <si>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</si>
  <si>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</si>
  <si>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</si>
  <si>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</si>
  <si>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</si>
  <si>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</si>
  <si>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</si>
  <si>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</si>
  <si>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</si>
  <si>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</si>
  <si>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</si>
  <si>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</si>
  <si>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</si>
  <si>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</si>
  <si>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</si>
  <si>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</si>
  <si>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</si>
  <si>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</si>
  <si>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</si>
  <si>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</si>
  <si>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</si>
  <si>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</si>
  <si>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</si>
  <si>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</si>
  <si>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</si>
  <si>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</si>
  <si>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</si>
  <si>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</si>
  <si>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</si>
  <si>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</si>
  <si>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</si>
  <si>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</si>
  <si>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</si>
  <si>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</si>
  <si>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</si>
  <si>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</si>
  <si>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</si>
  <si>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maroc</t>
  </si>
  <si>
    <t>sanitaire</t>
  </si>
  <si>
    <t>jardin</t>
  </si>
  <si>
    <t>Samba</t>
  </si>
  <si>
    <t>Moton mere</t>
  </si>
  <si>
    <t>tons Gora</t>
  </si>
  <si>
    <t>lissage exter</t>
  </si>
  <si>
    <t>Juillet</t>
  </si>
  <si>
    <t>auot</t>
  </si>
  <si>
    <t>boua</t>
  </si>
  <si>
    <t>manty</t>
  </si>
  <si>
    <t>frigo</t>
  </si>
  <si>
    <t>vacin</t>
  </si>
  <si>
    <t>Potre alu</t>
  </si>
  <si>
    <t>Investissment Poulayer</t>
  </si>
  <si>
    <t xml:space="preserve">Protecte porte </t>
  </si>
  <si>
    <t xml:space="preserve">Mathos </t>
  </si>
  <si>
    <t>Caisse possin</t>
  </si>
  <si>
    <t xml:space="preserve">Sac aliment </t>
  </si>
  <si>
    <t>Aliment finition et vaccin</t>
  </si>
  <si>
    <t>Lahat</t>
  </si>
  <si>
    <t>R 5000</t>
  </si>
  <si>
    <t>Lhat</t>
  </si>
  <si>
    <t>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</si>
</sst>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69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72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73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74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75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75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76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81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82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76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81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82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121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75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115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144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145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146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147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129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151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151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158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159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160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161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165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165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166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183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185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186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187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188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184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183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203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214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184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220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106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350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f>(70*2)+100</f>
        <v>240</v>
      </c>
      <c r="D13" s="4"/>
      <c r="E13" s="2" t="s">
        <v>231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222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223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200+(70*2)</f>
        <v>340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f>150+175</f>
        <v>325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151</v>
      </c>
      <c r="C13" s="4">
        <v>500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151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>
        <v>250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248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257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257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workbookViewId="0">
      <selection activeCell="E26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>
        <v>200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293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8D44-5740-4FBB-BE22-89E626F4C9EB}">
  <dimension ref="A1:T125"/>
  <sheetViews>
    <sheetView topLeftCell="A5" workbookViewId="0">
      <selection activeCell="C15" sqref="C15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3000+2500</f>
        <v>5500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297</v>
      </c>
      <c r="C10" s="4">
        <v>150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298</v>
      </c>
      <c r="C14" s="4">
        <v>224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2060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4121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4121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1379</v>
      </c>
      <c r="D34" s="4"/>
      <c r="E34" s="4"/>
      <c r="F34" s="4"/>
      <c r="G34" s="4"/>
      <c r="H34" s="4"/>
      <c r="I34" s="4"/>
      <c r="J34" s="4">
        <f>C29+L29</f>
        <v>4625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293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74C9-5FCD-4AA4-B4FC-6451FD68E67A}">
  <dimension ref="A1:T125"/>
  <sheetViews>
    <sheetView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302</v>
      </c>
      <c r="C13" s="4">
        <v>100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303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304</v>
      </c>
      <c r="C15" s="4">
        <v>280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305</v>
      </c>
      <c r="C16" s="4">
        <v>400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306</v>
      </c>
      <c r="C17" s="4">
        <v>300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3619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5680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5680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320</v>
      </c>
      <c r="D34" s="4"/>
      <c r="E34" s="4"/>
      <c r="F34" s="4"/>
      <c r="G34" s="4"/>
      <c r="H34" s="4"/>
      <c r="I34" s="4"/>
      <c r="J34" s="4">
        <f>C29+L29</f>
        <v>6184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80BA-C5EE-4B0D-B474-B9A682483A7B}">
  <dimension ref="A1:T125"/>
  <sheetViews>
    <sheetView workbookViewId="0">
      <selection activeCell="C10" sqref="C10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1034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/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304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305</v>
      </c>
      <c r="C16" s="4"/>
      <c r="D16" s="4"/>
      <c r="E16" s="2" t="s">
        <v>218</v>
      </c>
      <c r="F16" s="4">
        <v>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306</v>
      </c>
      <c r="C17" s="4"/>
      <c r="D17" s="4"/>
      <c r="E17" s="2" t="s">
        <v>12</v>
      </c>
      <c r="F17" s="4">
        <v>200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189</v>
      </c>
      <c r="D22" s="4"/>
      <c r="E22" s="4"/>
      <c r="F22" s="4">
        <f>SUM(F7:F20)+150</f>
        <v>3152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3341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3341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2659</v>
      </c>
      <c r="D34" s="4"/>
      <c r="E34" s="4"/>
      <c r="F34" s="4"/>
      <c r="G34" s="4"/>
      <c r="H34" s="4"/>
      <c r="I34" s="4"/>
      <c r="J34" s="4">
        <f>C29+L29</f>
        <v>3845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7"/>
  <sheetViews>
    <sheetView tabSelected="1" topLeftCell="A35" workbookViewId="0">
      <selection activeCell="B46" sqref="B46"/>
    </sheetView>
  </sheetViews>
  <sheetFormatPr baseColWidth="10" defaultRowHeight="15.75" x14ac:dyDescent="0.5"/>
  <cols>
    <col min="7" max="7" width="12" bestFit="1" customWidth="1"/>
  </cols>
  <sheetData>
    <row r="1" spans="1:11" x14ac:dyDescent="0.5">
      <c r="A1" t="s">
        <v>57</v>
      </c>
      <c r="B1" t="s">
        <v>7</v>
      </c>
      <c r="C1" t="s">
        <v>313</v>
      </c>
    </row>
    <row r="2" spans="1:11" x14ac:dyDescent="0.5">
      <c r="A2">
        <v>11500</v>
      </c>
      <c r="B2">
        <v>10000</v>
      </c>
      <c r="C2">
        <v>5000</v>
      </c>
    </row>
    <row r="4" spans="1:11" x14ac:dyDescent="0.5">
      <c r="J4" t="s">
        <v>314</v>
      </c>
      <c r="K4">
        <v>5000</v>
      </c>
    </row>
    <row r="6" spans="1:11" x14ac:dyDescent="0.5">
      <c r="A6" t="s">
        <v>4</v>
      </c>
      <c r="B6">
        <f>SUM(A2:G2)</f>
        <v>26500</v>
      </c>
      <c r="J6">
        <v>1000</v>
      </c>
      <c r="K6" t="s">
        <v>83</v>
      </c>
    </row>
    <row r="7" spans="1:11" x14ac:dyDescent="0.5">
      <c r="J7">
        <v>1000</v>
      </c>
      <c r="K7" t="s">
        <v>84</v>
      </c>
    </row>
    <row r="14" spans="1:11" x14ac:dyDescent="0.5">
      <c r="J14">
        <f>1000+1000+2000</f>
        <v>4000</v>
      </c>
    </row>
    <row r="16" spans="1:11" x14ac:dyDescent="0.5">
      <c r="I16" t="s">
        <v>21</v>
      </c>
      <c r="J16">
        <f>K4-J14</f>
        <v>1000</v>
      </c>
    </row>
    <row r="17" spans="1:15" x14ac:dyDescent="0.5">
      <c r="O17" t="s">
        <v>67</v>
      </c>
    </row>
    <row r="19" spans="1:15" x14ac:dyDescent="0.5">
      <c r="F19" t="s">
        <v>4</v>
      </c>
      <c r="H19">
        <f>SUM(H3:H17)</f>
        <v>0</v>
      </c>
    </row>
    <row r="20" spans="1:15" x14ac:dyDescent="0.5">
      <c r="A20" t="s">
        <v>21</v>
      </c>
      <c r="B20">
        <f>B6-F47</f>
        <v>8053</v>
      </c>
    </row>
    <row r="24" spans="1:15" x14ac:dyDescent="0.5">
      <c r="A24" s="9" t="s">
        <v>70</v>
      </c>
      <c r="B24" s="9"/>
      <c r="C24" s="9"/>
      <c r="D24" s="9"/>
      <c r="E24" s="9"/>
      <c r="F24" s="9"/>
    </row>
    <row r="25" spans="1:15" x14ac:dyDescent="0.5">
      <c r="A25" s="9"/>
      <c r="B25" s="9"/>
      <c r="C25" s="9"/>
      <c r="D25" s="9"/>
      <c r="E25" s="9"/>
      <c r="F25" s="9"/>
    </row>
    <row r="26" spans="1:15" x14ac:dyDescent="0.5">
      <c r="A26" s="10"/>
      <c r="B26" s="10" t="s">
        <v>79</v>
      </c>
      <c r="C26" s="10" t="s">
        <v>80</v>
      </c>
      <c r="D26" s="10"/>
      <c r="E26" s="10" t="s">
        <v>315</v>
      </c>
      <c r="F26" s="9"/>
    </row>
    <row r="27" spans="1:15" x14ac:dyDescent="0.5">
      <c r="A27" s="9" t="s">
        <v>78</v>
      </c>
      <c r="B27" s="9">
        <v>500</v>
      </c>
      <c r="C27" s="9"/>
      <c r="D27" s="9"/>
      <c r="E27" s="9"/>
      <c r="F27" s="9"/>
    </row>
    <row r="28" spans="1:15" x14ac:dyDescent="0.5">
      <c r="A28" s="9" t="s">
        <v>83</v>
      </c>
      <c r="B28" s="9"/>
      <c r="C28" s="9">
        <v>1000</v>
      </c>
      <c r="D28" s="9"/>
      <c r="E28" s="9"/>
      <c r="F28" s="9"/>
    </row>
    <row r="29" spans="1:15" x14ac:dyDescent="0.5">
      <c r="A29" s="9" t="s">
        <v>84</v>
      </c>
      <c r="B29" s="9">
        <v>500</v>
      </c>
      <c r="C29" s="9"/>
      <c r="D29" s="9"/>
      <c r="E29" s="9"/>
      <c r="F29" s="9"/>
    </row>
    <row r="30" spans="1:15" x14ac:dyDescent="0.5">
      <c r="A30" s="9" t="s">
        <v>66</v>
      </c>
      <c r="B30" s="9"/>
      <c r="C30" s="9">
        <v>1000</v>
      </c>
      <c r="D30" s="9"/>
      <c r="E30" s="9"/>
      <c r="F30" s="9"/>
    </row>
    <row r="31" spans="1:15" x14ac:dyDescent="0.5">
      <c r="A31" s="9" t="s">
        <v>85</v>
      </c>
      <c r="B31" s="9">
        <v>500</v>
      </c>
      <c r="C31" s="9"/>
      <c r="D31" s="9"/>
      <c r="E31" s="9"/>
      <c r="F31" s="9"/>
    </row>
    <row r="32" spans="1:15" x14ac:dyDescent="0.5">
      <c r="A32" s="9" t="s">
        <v>65</v>
      </c>
      <c r="B32" s="9">
        <v>400</v>
      </c>
      <c r="C32" s="9">
        <v>1000</v>
      </c>
      <c r="D32" s="9"/>
      <c r="E32" s="9"/>
      <c r="F32" s="9"/>
    </row>
    <row r="33" spans="1:6" x14ac:dyDescent="0.5">
      <c r="A33" s="9" t="s">
        <v>86</v>
      </c>
      <c r="B33" s="9">
        <v>600</v>
      </c>
      <c r="C33" s="9"/>
      <c r="D33" s="9"/>
      <c r="E33" s="9"/>
      <c r="F33" s="9"/>
    </row>
    <row r="34" spans="1:6" x14ac:dyDescent="0.5">
      <c r="A34" s="9" t="s">
        <v>300</v>
      </c>
      <c r="B34" s="9">
        <v>500</v>
      </c>
      <c r="C34" s="9">
        <v>1000</v>
      </c>
      <c r="D34" s="9"/>
      <c r="E34" s="9"/>
      <c r="F34" s="9"/>
    </row>
    <row r="35" spans="1:6" x14ac:dyDescent="0.5">
      <c r="A35" s="9" t="s">
        <v>301</v>
      </c>
      <c r="B35" s="9">
        <v>500</v>
      </c>
      <c r="C35" s="9">
        <v>2147</v>
      </c>
      <c r="D35" s="9"/>
      <c r="E35" s="9"/>
      <c r="F35" s="9"/>
    </row>
    <row r="36" spans="1:6" x14ac:dyDescent="0.5">
      <c r="A36" s="9" t="s">
        <v>64</v>
      </c>
      <c r="B36" s="9">
        <v>500</v>
      </c>
      <c r="C36" s="9">
        <v>500</v>
      </c>
      <c r="D36" s="9"/>
      <c r="E36" s="9"/>
      <c r="F36" s="9"/>
    </row>
    <row r="37" spans="1:6" x14ac:dyDescent="0.5">
      <c r="A37" s="9" t="s">
        <v>68</v>
      </c>
      <c r="B37" s="9">
        <v>0</v>
      </c>
      <c r="C37" s="9"/>
      <c r="D37" s="9"/>
      <c r="E37" s="9"/>
      <c r="F37" s="9"/>
    </row>
    <row r="38" spans="1:6" x14ac:dyDescent="0.5">
      <c r="A38" s="9" t="s">
        <v>77</v>
      </c>
      <c r="B38" s="9">
        <v>500</v>
      </c>
      <c r="C38" s="9"/>
      <c r="D38" s="9"/>
      <c r="E38" s="9"/>
      <c r="F38" s="9"/>
    </row>
    <row r="39" spans="1:6" x14ac:dyDescent="0.5">
      <c r="A39" s="9" t="s">
        <v>78</v>
      </c>
      <c r="B39" s="9">
        <v>500</v>
      </c>
      <c r="C39" s="9">
        <v>1000</v>
      </c>
      <c r="D39" s="9"/>
      <c r="E39" s="9"/>
      <c r="F39" s="9"/>
    </row>
    <row r="40" spans="1:6" x14ac:dyDescent="0.5">
      <c r="A40" s="9" t="s">
        <v>83</v>
      </c>
      <c r="B40" s="9">
        <v>500</v>
      </c>
      <c r="C40" s="9"/>
      <c r="D40" s="9">
        <v>500</v>
      </c>
      <c r="E40" s="9"/>
      <c r="F40" s="9"/>
    </row>
    <row r="41" spans="1:6" x14ac:dyDescent="0.5">
      <c r="A41" s="9" t="s">
        <v>84</v>
      </c>
      <c r="B41" s="9">
        <v>400</v>
      </c>
      <c r="C41" s="9"/>
      <c r="D41" s="9">
        <v>500</v>
      </c>
      <c r="E41" s="9"/>
      <c r="F41" s="9"/>
    </row>
    <row r="42" spans="1:6" x14ac:dyDescent="0.5">
      <c r="A42" s="9" t="s">
        <v>66</v>
      </c>
      <c r="B42" s="9">
        <v>400</v>
      </c>
      <c r="C42" s="9">
        <v>500</v>
      </c>
      <c r="D42" s="9">
        <v>1000</v>
      </c>
      <c r="E42" s="9" t="s">
        <v>316</v>
      </c>
      <c r="F42" s="9"/>
    </row>
    <row r="43" spans="1:6" x14ac:dyDescent="0.5">
      <c r="A43" s="9" t="s">
        <v>85</v>
      </c>
      <c r="B43" s="9">
        <v>500</v>
      </c>
      <c r="C43" s="9"/>
      <c r="D43" s="9"/>
      <c r="E43" s="9"/>
      <c r="F43" s="9"/>
    </row>
    <row r="44" spans="1:6" x14ac:dyDescent="0.5">
      <c r="A44" s="9" t="s">
        <v>65</v>
      </c>
      <c r="B44" s="9"/>
      <c r="C44" s="9">
        <v>1000</v>
      </c>
      <c r="D44" s="9"/>
      <c r="E44" s="9"/>
      <c r="F44" s="9"/>
    </row>
    <row r="45" spans="1:6" x14ac:dyDescent="0.5">
      <c r="A45" s="9" t="s">
        <v>86</v>
      </c>
      <c r="B45" s="9">
        <v>500</v>
      </c>
      <c r="C45" s="9"/>
      <c r="D45" s="9"/>
      <c r="E45" s="9"/>
      <c r="F45" s="9"/>
    </row>
    <row r="46" spans="1:6" x14ac:dyDescent="0.5">
      <c r="A46" s="9"/>
      <c r="B46" s="9"/>
      <c r="C46" s="9"/>
      <c r="D46" s="9"/>
      <c r="E46" s="9"/>
      <c r="F46" s="9"/>
    </row>
    <row r="47" spans="1:6" x14ac:dyDescent="0.5">
      <c r="A47" s="10" t="s">
        <v>4</v>
      </c>
      <c r="B47" s="10">
        <f>SUM(B27:B45)</f>
        <v>7300</v>
      </c>
      <c r="C47" s="10">
        <f>SUM(C27:C45)</f>
        <v>9147</v>
      </c>
      <c r="D47" s="10">
        <f>SUM(D27:D45)</f>
        <v>2000</v>
      </c>
      <c r="E47" s="10">
        <f>SUM(E27:E45)</f>
        <v>0</v>
      </c>
      <c r="F47" s="10">
        <f>SUM(B47:E47)</f>
        <v>18447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35" workbookViewId="0">
      <selection activeCell="F34" sqref="F34"/>
    </sheetView>
  </sheetViews>
  <sheetFormatPr baseColWidth="10" defaultRowHeight="15.75" x14ac:dyDescent="0.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5">
      <c r="C1" t="s">
        <v>124</v>
      </c>
      <c r="D1" t="s">
        <v>125</v>
      </c>
      <c r="E1" t="s">
        <v>122</v>
      </c>
      <c r="F1" t="s">
        <v>123</v>
      </c>
      <c r="G1" t="s">
        <v>126</v>
      </c>
      <c r="I1" t="s">
        <v>157</v>
      </c>
      <c r="J1" t="s">
        <v>156</v>
      </c>
    </row>
    <row r="2" spans="1:10" x14ac:dyDescent="0.5">
      <c r="A2" t="s">
        <v>127</v>
      </c>
      <c r="B2" t="s">
        <v>152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5">
      <c r="A3" t="s">
        <v>128</v>
      </c>
      <c r="B3" t="s">
        <v>152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5">
      <c r="A5" t="s">
        <v>154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5">
      <c r="A9" t="s">
        <v>127</v>
      </c>
      <c r="B9" t="s">
        <v>153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5">
      <c r="A10" t="s">
        <v>128</v>
      </c>
      <c r="B10" t="s">
        <v>153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5">
      <c r="A12" t="s">
        <v>155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5">
      <c r="A15" t="s">
        <v>127</v>
      </c>
      <c r="B15" t="s">
        <v>189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5">
      <c r="A16" t="s">
        <v>128</v>
      </c>
      <c r="B16" t="s">
        <v>189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5">
      <c r="A18" t="s">
        <v>190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5">
      <c r="A21" t="s">
        <v>127</v>
      </c>
      <c r="B21" t="s">
        <v>64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5">
      <c r="A22" t="s">
        <v>128</v>
      </c>
      <c r="B22" t="s">
        <v>189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5">
      <c r="A24" t="s">
        <v>190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5">
      <c r="A27" t="s">
        <v>127</v>
      </c>
      <c r="B27" t="s">
        <v>78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5">
      <c r="A28" t="s">
        <v>128</v>
      </c>
      <c r="B28" t="s">
        <v>189</v>
      </c>
      <c r="C28" s="1">
        <v>8150</v>
      </c>
      <c r="D28" s="1">
        <v>9660</v>
      </c>
      <c r="E28" s="1">
        <f>C28*21%</f>
        <v>1711.5</v>
      </c>
      <c r="F28" s="1">
        <f>C28-E28</f>
        <v>6438.5</v>
      </c>
      <c r="G28" s="1">
        <f>D28-C28</f>
        <v>1510</v>
      </c>
    </row>
    <row r="30" spans="1:9" x14ac:dyDescent="0.5">
      <c r="A30" t="s">
        <v>190</v>
      </c>
      <c r="C30">
        <f>C27+C28</f>
        <v>8150</v>
      </c>
      <c r="D30">
        <f>D27+D28</f>
        <v>9660</v>
      </c>
      <c r="E30" s="1">
        <f>E27+E28</f>
        <v>1711.5</v>
      </c>
      <c r="F30" s="11">
        <f>F27+F28</f>
        <v>6438.5</v>
      </c>
      <c r="G30" s="1">
        <f>G27+G28</f>
        <v>1510</v>
      </c>
    </row>
    <row r="33" spans="1:7" x14ac:dyDescent="0.5">
      <c r="A33" t="s">
        <v>127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5">
      <c r="A34" t="s">
        <v>128</v>
      </c>
      <c r="B34" t="s">
        <v>189</v>
      </c>
      <c r="C34" s="1">
        <v>8050</v>
      </c>
      <c r="D34" s="1">
        <v>9660</v>
      </c>
      <c r="E34" s="1">
        <f>C34*26%</f>
        <v>2093</v>
      </c>
      <c r="F34" s="1">
        <f>C34-E34</f>
        <v>5957</v>
      </c>
      <c r="G34" s="1">
        <f>D34-C34</f>
        <v>1610</v>
      </c>
    </row>
    <row r="36" spans="1:7" x14ac:dyDescent="0.5">
      <c r="A36" t="s">
        <v>190</v>
      </c>
      <c r="C36">
        <f>C33+C34</f>
        <v>8050</v>
      </c>
      <c r="D36">
        <f>D33+D34</f>
        <v>9660</v>
      </c>
      <c r="E36" s="1">
        <f>E33+E34</f>
        <v>2093</v>
      </c>
      <c r="F36" s="11">
        <f>F33+F34</f>
        <v>5957</v>
      </c>
      <c r="G36" s="1">
        <f>G33+G34</f>
        <v>1610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3"/>
  <sheetViews>
    <sheetView topLeftCell="A84" zoomScale="106" workbookViewId="0">
      <selection activeCell="B98" sqref="B98"/>
    </sheetView>
  </sheetViews>
  <sheetFormatPr baseColWidth="10" defaultRowHeight="15.75" x14ac:dyDescent="0.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5">
      <c r="A1" t="s">
        <v>87</v>
      </c>
      <c r="D1" t="s">
        <v>88</v>
      </c>
      <c r="H1" t="s">
        <v>90</v>
      </c>
      <c r="L1" t="s">
        <v>101</v>
      </c>
    </row>
    <row r="2" spans="1:15" x14ac:dyDescent="0.5">
      <c r="A2">
        <v>4700000</v>
      </c>
      <c r="D2" t="s">
        <v>89</v>
      </c>
      <c r="E2">
        <v>500000</v>
      </c>
      <c r="H2" t="s">
        <v>91</v>
      </c>
      <c r="J2">
        <v>418000</v>
      </c>
      <c r="L2">
        <f>SUM(J2:J55)</f>
        <v>4898500</v>
      </c>
    </row>
    <row r="3" spans="1:15" x14ac:dyDescent="0.5">
      <c r="D3" t="s">
        <v>89</v>
      </c>
      <c r="E3">
        <v>500000</v>
      </c>
      <c r="H3" t="s">
        <v>92</v>
      </c>
      <c r="J3">
        <v>432000</v>
      </c>
    </row>
    <row r="4" spans="1:15" x14ac:dyDescent="0.5">
      <c r="D4" t="s">
        <v>89</v>
      </c>
      <c r="E4">
        <v>300000</v>
      </c>
      <c r="H4" t="s">
        <v>93</v>
      </c>
      <c r="J4">
        <v>100000</v>
      </c>
    </row>
    <row r="5" spans="1:15" x14ac:dyDescent="0.5">
      <c r="D5" t="s">
        <v>89</v>
      </c>
      <c r="E5">
        <v>16000</v>
      </c>
      <c r="H5" t="s">
        <v>94</v>
      </c>
      <c r="J5">
        <v>25000</v>
      </c>
    </row>
    <row r="6" spans="1:15" x14ac:dyDescent="0.5">
      <c r="D6" t="s">
        <v>106</v>
      </c>
      <c r="E6">
        <v>800000</v>
      </c>
      <c r="H6" t="s">
        <v>95</v>
      </c>
      <c r="J6">
        <v>25000</v>
      </c>
      <c r="N6" t="s">
        <v>245</v>
      </c>
    </row>
    <row r="7" spans="1:15" x14ac:dyDescent="0.5">
      <c r="D7" t="s">
        <v>106</v>
      </c>
      <c r="E7">
        <v>1000000</v>
      </c>
      <c r="H7" t="s">
        <v>96</v>
      </c>
      <c r="J7">
        <v>60000</v>
      </c>
      <c r="N7" t="s">
        <v>221</v>
      </c>
      <c r="O7">
        <v>1000</v>
      </c>
    </row>
    <row r="8" spans="1:15" x14ac:dyDescent="0.5">
      <c r="D8" t="s">
        <v>129</v>
      </c>
      <c r="E8">
        <v>600000</v>
      </c>
      <c r="H8" t="s">
        <v>97</v>
      </c>
      <c r="J8">
        <v>35000</v>
      </c>
      <c r="N8" t="s">
        <v>246</v>
      </c>
      <c r="O8">
        <v>1000</v>
      </c>
    </row>
    <row r="9" spans="1:15" x14ac:dyDescent="0.5">
      <c r="D9" t="s">
        <v>89</v>
      </c>
      <c r="E9">
        <v>600000</v>
      </c>
      <c r="H9" t="s">
        <v>98</v>
      </c>
      <c r="J9">
        <v>28000</v>
      </c>
      <c r="N9" t="s">
        <v>247</v>
      </c>
      <c r="O9">
        <v>4000</v>
      </c>
    </row>
    <row r="10" spans="1:15" x14ac:dyDescent="0.5">
      <c r="D10" t="s">
        <v>89</v>
      </c>
      <c r="E10">
        <v>113000</v>
      </c>
      <c r="H10" t="s">
        <v>99</v>
      </c>
      <c r="J10">
        <v>20000</v>
      </c>
    </row>
    <row r="11" spans="1:15" x14ac:dyDescent="0.5">
      <c r="D11" t="s">
        <v>89</v>
      </c>
      <c r="E11">
        <v>500000</v>
      </c>
      <c r="H11" t="s">
        <v>100</v>
      </c>
      <c r="J11">
        <v>32000</v>
      </c>
    </row>
    <row r="12" spans="1:15" x14ac:dyDescent="0.5">
      <c r="D12" t="s">
        <v>129</v>
      </c>
      <c r="E12">
        <v>466000</v>
      </c>
      <c r="H12" t="s">
        <v>102</v>
      </c>
      <c r="J12">
        <v>125000</v>
      </c>
    </row>
    <row r="13" spans="1:15" x14ac:dyDescent="0.5">
      <c r="D13" t="s">
        <v>146</v>
      </c>
      <c r="E13">
        <v>450000</v>
      </c>
      <c r="H13" t="s">
        <v>105</v>
      </c>
      <c r="J13">
        <v>16000</v>
      </c>
    </row>
    <row r="14" spans="1:15" x14ac:dyDescent="0.5">
      <c r="D14" t="s">
        <v>146</v>
      </c>
      <c r="E14">
        <v>1000000</v>
      </c>
      <c r="H14" t="s">
        <v>116</v>
      </c>
      <c r="J14">
        <v>500000</v>
      </c>
    </row>
    <row r="15" spans="1:15" x14ac:dyDescent="0.5">
      <c r="D15" t="s">
        <v>146</v>
      </c>
      <c r="E15">
        <v>1000000</v>
      </c>
      <c r="H15" t="s">
        <v>117</v>
      </c>
      <c r="J15">
        <v>400000</v>
      </c>
    </row>
    <row r="16" spans="1:15" x14ac:dyDescent="0.5">
      <c r="D16" t="s">
        <v>162</v>
      </c>
      <c r="E16">
        <v>500000</v>
      </c>
      <c r="H16" t="s">
        <v>118</v>
      </c>
      <c r="J16">
        <v>460000</v>
      </c>
    </row>
    <row r="17" spans="1:15" x14ac:dyDescent="0.5">
      <c r="D17" t="s">
        <v>106</v>
      </c>
      <c r="E17">
        <v>850000</v>
      </c>
      <c r="H17" t="s">
        <v>119</v>
      </c>
      <c r="J17">
        <v>45000</v>
      </c>
    </row>
    <row r="18" spans="1:15" x14ac:dyDescent="0.5">
      <c r="D18" t="s">
        <v>106</v>
      </c>
      <c r="E18">
        <v>250000</v>
      </c>
    </row>
    <row r="19" spans="1:15" x14ac:dyDescent="0.5">
      <c r="D19" t="s">
        <v>106</v>
      </c>
      <c r="E19">
        <v>125000</v>
      </c>
    </row>
    <row r="23" spans="1:15" x14ac:dyDescent="0.5">
      <c r="H23" t="s">
        <v>120</v>
      </c>
      <c r="J23">
        <v>14000</v>
      </c>
      <c r="N23" t="s">
        <v>248</v>
      </c>
      <c r="O23">
        <f>SUM(O7:O19)</f>
        <v>6000</v>
      </c>
    </row>
    <row r="24" spans="1:15" x14ac:dyDescent="0.5">
      <c r="H24" t="s">
        <v>23</v>
      </c>
      <c r="J24">
        <v>600000</v>
      </c>
    </row>
    <row r="25" spans="1:15" x14ac:dyDescent="0.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5">
      <c r="H26" t="s">
        <v>130</v>
      </c>
      <c r="J26">
        <v>113000</v>
      </c>
    </row>
    <row r="27" spans="1:15" x14ac:dyDescent="0.5">
      <c r="H27" t="s">
        <v>164</v>
      </c>
      <c r="J27">
        <v>300000</v>
      </c>
    </row>
    <row r="28" spans="1:15" x14ac:dyDescent="0.5">
      <c r="H28" t="s">
        <v>163</v>
      </c>
      <c r="J28">
        <v>550500</v>
      </c>
    </row>
    <row r="31" spans="1:15" x14ac:dyDescent="0.5">
      <c r="A31" t="s">
        <v>103</v>
      </c>
      <c r="B31">
        <f>A2-E25</f>
        <v>-4870000</v>
      </c>
    </row>
    <row r="32" spans="1:15" x14ac:dyDescent="0.5">
      <c r="A32" t="s">
        <v>104</v>
      </c>
      <c r="B32">
        <f>A2-L2</f>
        <v>-198500</v>
      </c>
    </row>
    <row r="37" spans="1:12" x14ac:dyDescent="0.5">
      <c r="A37" t="s">
        <v>107</v>
      </c>
      <c r="E37" t="s">
        <v>131</v>
      </c>
    </row>
    <row r="38" spans="1:12" x14ac:dyDescent="0.5">
      <c r="A38" t="s">
        <v>108</v>
      </c>
      <c r="B38">
        <f>9*19</f>
        <v>171</v>
      </c>
      <c r="E38" t="s">
        <v>132</v>
      </c>
      <c r="F38">
        <v>304000</v>
      </c>
    </row>
    <row r="39" spans="1:12" x14ac:dyDescent="0.5">
      <c r="A39" t="s">
        <v>109</v>
      </c>
      <c r="B39">
        <f>19*6</f>
        <v>114</v>
      </c>
      <c r="E39" t="s">
        <v>133</v>
      </c>
      <c r="F39">
        <v>276000</v>
      </c>
    </row>
    <row r="40" spans="1:12" x14ac:dyDescent="0.5">
      <c r="A40" t="s">
        <v>110</v>
      </c>
      <c r="B40">
        <f>6*4</f>
        <v>24</v>
      </c>
      <c r="E40" t="s">
        <v>134</v>
      </c>
      <c r="F40">
        <v>268000</v>
      </c>
      <c r="H40" t="s">
        <v>132</v>
      </c>
      <c r="I40">
        <v>304000</v>
      </c>
      <c r="K40" t="s">
        <v>148</v>
      </c>
      <c r="L40">
        <f>3800*40</f>
        <v>152000</v>
      </c>
    </row>
    <row r="41" spans="1:12" x14ac:dyDescent="0.5">
      <c r="A41" t="s">
        <v>111</v>
      </c>
      <c r="B41">
        <f>18*5</f>
        <v>90</v>
      </c>
      <c r="E41" t="s">
        <v>135</v>
      </c>
      <c r="F41">
        <v>780000</v>
      </c>
      <c r="H41" t="s">
        <v>133</v>
      </c>
      <c r="I41">
        <v>276000</v>
      </c>
      <c r="K41" t="s">
        <v>149</v>
      </c>
      <c r="L41">
        <v>30000</v>
      </c>
    </row>
    <row r="42" spans="1:12" x14ac:dyDescent="0.5">
      <c r="A42" t="s">
        <v>112</v>
      </c>
      <c r="B42">
        <f>15*8</f>
        <v>120</v>
      </c>
      <c r="E42" t="s">
        <v>136</v>
      </c>
      <c r="F42">
        <f>76000*5</f>
        <v>380000</v>
      </c>
      <c r="H42" t="s">
        <v>139</v>
      </c>
      <c r="I42">
        <v>120000</v>
      </c>
      <c r="K42" t="s">
        <v>23</v>
      </c>
      <c r="L42">
        <v>500000</v>
      </c>
    </row>
    <row r="43" spans="1:12" x14ac:dyDescent="0.5">
      <c r="A43" t="s">
        <v>113</v>
      </c>
      <c r="B43">
        <f>19*4</f>
        <v>76</v>
      </c>
      <c r="E43" t="s">
        <v>137</v>
      </c>
      <c r="F43">
        <v>7000</v>
      </c>
      <c r="H43" t="s">
        <v>141</v>
      </c>
      <c r="I43">
        <f>30*3800</f>
        <v>114000</v>
      </c>
      <c r="K43" t="s">
        <v>150</v>
      </c>
      <c r="L43">
        <v>500000</v>
      </c>
    </row>
    <row r="44" spans="1:12" x14ac:dyDescent="0.5">
      <c r="A44" t="s">
        <v>114</v>
      </c>
      <c r="B44">
        <v>20</v>
      </c>
      <c r="E44" t="s">
        <v>138</v>
      </c>
      <c r="F44">
        <v>30000</v>
      </c>
      <c r="H44" t="s">
        <v>142</v>
      </c>
      <c r="I44">
        <f>40*3800</f>
        <v>152000</v>
      </c>
    </row>
    <row r="45" spans="1:12" x14ac:dyDescent="0.5">
      <c r="E45" t="s">
        <v>139</v>
      </c>
      <c r="F45">
        <v>120000</v>
      </c>
    </row>
    <row r="46" spans="1:12" x14ac:dyDescent="0.5">
      <c r="E46" t="s">
        <v>140</v>
      </c>
      <c r="F46">
        <v>1300000</v>
      </c>
    </row>
    <row r="47" spans="1:12" x14ac:dyDescent="0.5">
      <c r="H47" t="s">
        <v>143</v>
      </c>
      <c r="I47">
        <f>SUM(I40:I44)</f>
        <v>966000</v>
      </c>
    </row>
    <row r="50" spans="1:14" x14ac:dyDescent="0.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5">
      <c r="M52" t="s">
        <v>232</v>
      </c>
      <c r="N52">
        <f>2000*655</f>
        <v>1310000</v>
      </c>
    </row>
    <row r="53" spans="1:14" x14ac:dyDescent="0.5">
      <c r="A53" s="14"/>
      <c r="B53" s="14"/>
      <c r="C53" s="14"/>
      <c r="D53" s="14"/>
      <c r="E53" s="14"/>
      <c r="F53" s="14"/>
      <c r="G53" s="14"/>
      <c r="H53" s="14"/>
      <c r="L53" t="s">
        <v>233</v>
      </c>
      <c r="M53">
        <v>200000</v>
      </c>
    </row>
    <row r="54" spans="1:14" x14ac:dyDescent="0.5">
      <c r="A54" s="1"/>
      <c r="B54" s="1"/>
      <c r="C54" s="1" t="s">
        <v>224</v>
      </c>
      <c r="D54" s="1"/>
      <c r="E54" s="1"/>
      <c r="F54" s="1"/>
      <c r="G54" s="1"/>
      <c r="H54" s="1"/>
      <c r="L54" t="s">
        <v>234</v>
      </c>
      <c r="M54">
        <v>200000</v>
      </c>
    </row>
    <row r="55" spans="1:14" x14ac:dyDescent="0.5">
      <c r="B55" t="s">
        <v>229</v>
      </c>
      <c r="C55" t="s">
        <v>230</v>
      </c>
      <c r="M55">
        <v>400000</v>
      </c>
    </row>
    <row r="56" spans="1:14" x14ac:dyDescent="0.5">
      <c r="A56" t="s">
        <v>225</v>
      </c>
      <c r="B56">
        <v>300000</v>
      </c>
      <c r="C56">
        <v>404000</v>
      </c>
      <c r="M56">
        <v>200000</v>
      </c>
    </row>
    <row r="57" spans="1:14" x14ac:dyDescent="0.5">
      <c r="A57" t="s">
        <v>226</v>
      </c>
      <c r="B57">
        <v>400000</v>
      </c>
      <c r="C57">
        <v>370000</v>
      </c>
      <c r="M57">
        <v>310000</v>
      </c>
    </row>
    <row r="58" spans="1:14" x14ac:dyDescent="0.5">
      <c r="A58" t="s">
        <v>227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5">
      <c r="A59" t="s">
        <v>228</v>
      </c>
      <c r="B59">
        <v>450000</v>
      </c>
    </row>
    <row r="63" spans="1:14" x14ac:dyDescent="0.5">
      <c r="B63">
        <f>SUM(B56:L59)</f>
        <v>6169000</v>
      </c>
    </row>
    <row r="64" spans="1:14" x14ac:dyDescent="0.5">
      <c r="L64" t="s">
        <v>4</v>
      </c>
      <c r="M64">
        <f>SUM(M53:M62)</f>
        <v>1310000</v>
      </c>
    </row>
    <row r="66" spans="1:18" x14ac:dyDescent="0.5">
      <c r="B66" t="s">
        <v>239</v>
      </c>
      <c r="C66" t="s">
        <v>241</v>
      </c>
      <c r="D66" t="s">
        <v>243</v>
      </c>
    </row>
    <row r="67" spans="1:18" x14ac:dyDescent="0.5">
      <c r="A67" s="1" t="s">
        <v>235</v>
      </c>
      <c r="B67" s="1">
        <f>364000+9000+56500</f>
        <v>429500</v>
      </c>
      <c r="C67" s="1">
        <f>364000+9000+56500</f>
        <v>429500</v>
      </c>
    </row>
    <row r="68" spans="1:18" x14ac:dyDescent="0.5">
      <c r="A68" s="1" t="s">
        <v>236</v>
      </c>
      <c r="B68" s="1">
        <v>396250</v>
      </c>
      <c r="C68" s="1">
        <v>396250</v>
      </c>
    </row>
    <row r="69" spans="1:18" x14ac:dyDescent="0.5">
      <c r="A69" s="1" t="s">
        <v>237</v>
      </c>
      <c r="B69" s="1">
        <v>350000</v>
      </c>
      <c r="C69" s="1">
        <v>350000</v>
      </c>
    </row>
    <row r="70" spans="1:18" x14ac:dyDescent="0.5">
      <c r="A70" s="1" t="s">
        <v>238</v>
      </c>
      <c r="B70" s="1">
        <v>400000</v>
      </c>
      <c r="C70" s="1">
        <v>400000</v>
      </c>
    </row>
    <row r="71" spans="1:18" x14ac:dyDescent="0.5">
      <c r="A71" s="1" t="s">
        <v>240</v>
      </c>
      <c r="B71" s="1">
        <v>260000</v>
      </c>
      <c r="C71" s="1">
        <v>260000</v>
      </c>
      <c r="K71" t="s">
        <v>272</v>
      </c>
      <c r="N71" t="s">
        <v>273</v>
      </c>
      <c r="Q71" t="s">
        <v>276</v>
      </c>
    </row>
    <row r="72" spans="1:18" x14ac:dyDescent="0.5">
      <c r="A72" s="1" t="s">
        <v>244</v>
      </c>
      <c r="B72" s="1">
        <v>200000</v>
      </c>
      <c r="C72" s="1">
        <v>200000</v>
      </c>
      <c r="K72" t="s">
        <v>264</v>
      </c>
      <c r="L72">
        <f>3.4*3.9</f>
        <v>13.26</v>
      </c>
      <c r="N72" t="s">
        <v>274</v>
      </c>
      <c r="O72">
        <f>1.66*1.66</f>
        <v>2.7555999999999998</v>
      </c>
      <c r="Q72" t="s">
        <v>277</v>
      </c>
      <c r="R72">
        <f>(1.6*3)*4</f>
        <v>19.200000000000003</v>
      </c>
    </row>
    <row r="73" spans="1:18" x14ac:dyDescent="0.5">
      <c r="A73" s="1" t="s">
        <v>242</v>
      </c>
      <c r="B73" s="1">
        <f>450000+140000</f>
        <v>590000</v>
      </c>
      <c r="C73" s="1">
        <f>250000+60000+230000+50000</f>
        <v>590000</v>
      </c>
      <c r="K73" t="s">
        <v>265</v>
      </c>
      <c r="L73">
        <f>3.4*3.9</f>
        <v>13.26</v>
      </c>
      <c r="N73" t="s">
        <v>275</v>
      </c>
      <c r="O73">
        <f>1.66*1.8</f>
        <v>2.988</v>
      </c>
      <c r="Q73" t="s">
        <v>278</v>
      </c>
      <c r="R73">
        <f>(1.6*3)*2+(1.8*3)*2</f>
        <v>20.400000000000002</v>
      </c>
    </row>
    <row r="74" spans="1:18" x14ac:dyDescent="0.5">
      <c r="A74" s="1" t="s">
        <v>250</v>
      </c>
      <c r="B74" s="1">
        <v>2100000</v>
      </c>
      <c r="C74" s="1">
        <f>500000+200000+300000+200000+100000+250000+150000+300000</f>
        <v>2000000</v>
      </c>
      <c r="H74" t="s">
        <v>268</v>
      </c>
      <c r="I74">
        <f>3*5</f>
        <v>15</v>
      </c>
      <c r="K74" t="s">
        <v>266</v>
      </c>
      <c r="L74">
        <f>5.56*3.9</f>
        <v>21.683999999999997</v>
      </c>
      <c r="Q74" t="s">
        <v>279</v>
      </c>
      <c r="R74">
        <f>(1.4*3)+(3.9*3)*2</f>
        <v>27.599999999999998</v>
      </c>
    </row>
    <row r="75" spans="1:18" x14ac:dyDescent="0.5">
      <c r="A75" s="1" t="s">
        <v>251</v>
      </c>
      <c r="B75" s="1">
        <f>675000+120000</f>
        <v>795000</v>
      </c>
      <c r="C75" s="1">
        <f>73000+73000+73000+73000+73000+88000</f>
        <v>453000</v>
      </c>
      <c r="H75" t="s">
        <v>269</v>
      </c>
      <c r="I75">
        <f>0.95*4.1</f>
        <v>3.8949999999999996</v>
      </c>
      <c r="K75" t="s">
        <v>267</v>
      </c>
      <c r="L75">
        <f>1.4*16</f>
        <v>22.4</v>
      </c>
      <c r="Q75" t="s">
        <v>270</v>
      </c>
    </row>
    <row r="76" spans="1:18" x14ac:dyDescent="0.5">
      <c r="A76" s="1" t="s">
        <v>259</v>
      </c>
      <c r="B76" s="1">
        <v>675000</v>
      </c>
      <c r="C76" s="1">
        <f>300000+150000+125000+100000</f>
        <v>675000</v>
      </c>
      <c r="K76" t="s">
        <v>270</v>
      </c>
      <c r="L76">
        <v>6</v>
      </c>
      <c r="N76" t="s">
        <v>113</v>
      </c>
      <c r="O76">
        <v>6</v>
      </c>
      <c r="Q76" t="s">
        <v>271</v>
      </c>
    </row>
    <row r="77" spans="1:18" x14ac:dyDescent="0.5">
      <c r="A77" s="1" t="s">
        <v>258</v>
      </c>
      <c r="B77" s="1">
        <v>650000</v>
      </c>
      <c r="C77" s="1">
        <f>300000+201000+150000</f>
        <v>651000</v>
      </c>
      <c r="K77" t="s">
        <v>271</v>
      </c>
      <c r="L77">
        <v>8</v>
      </c>
    </row>
    <row r="78" spans="1:18" x14ac:dyDescent="0.5">
      <c r="A78" s="1" t="s">
        <v>261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5">
      <c r="A79" s="1" t="s">
        <v>262</v>
      </c>
      <c r="B79" s="1">
        <v>450000</v>
      </c>
      <c r="C79" s="1">
        <f>250000+200000</f>
        <v>450000</v>
      </c>
      <c r="D79">
        <f>30000+50000+150000+30000+50000+50000</f>
        <v>360000</v>
      </c>
      <c r="E79" t="s">
        <v>288</v>
      </c>
      <c r="H79" t="s">
        <v>283</v>
      </c>
      <c r="I79">
        <v>10</v>
      </c>
    </row>
    <row r="80" spans="1:18" x14ac:dyDescent="0.5">
      <c r="A80" s="1" t="s">
        <v>263</v>
      </c>
      <c r="B80" s="1">
        <v>155000</v>
      </c>
      <c r="C80" s="1">
        <f>155000</f>
        <v>155000</v>
      </c>
      <c r="H80" t="s">
        <v>281</v>
      </c>
      <c r="I80">
        <v>17</v>
      </c>
    </row>
    <row r="81" spans="1:18" x14ac:dyDescent="0.5">
      <c r="A81" s="1" t="s">
        <v>284</v>
      </c>
      <c r="B81" s="1">
        <v>480000</v>
      </c>
      <c r="C81" s="1">
        <f>280000+100000+110000</f>
        <v>490000</v>
      </c>
    </row>
    <row r="82" spans="1:18" x14ac:dyDescent="0.5">
      <c r="A82" s="1" t="s">
        <v>282</v>
      </c>
      <c r="B82" s="1">
        <v>292000</v>
      </c>
      <c r="C82" s="1">
        <f>292000</f>
        <v>292000</v>
      </c>
    </row>
    <row r="83" spans="1:18" x14ac:dyDescent="0.5">
      <c r="A83" t="s">
        <v>285</v>
      </c>
      <c r="B83">
        <v>200000</v>
      </c>
      <c r="C83">
        <f>50000+50000</f>
        <v>100000</v>
      </c>
    </row>
    <row r="84" spans="1:18" x14ac:dyDescent="0.5">
      <c r="A84" s="1" t="s">
        <v>291</v>
      </c>
      <c r="B84" s="1">
        <v>580000</v>
      </c>
      <c r="C84" s="1">
        <v>580000</v>
      </c>
    </row>
    <row r="85" spans="1:18" x14ac:dyDescent="0.5">
      <c r="A85" s="1" t="s">
        <v>106</v>
      </c>
      <c r="B85" s="1">
        <v>500000</v>
      </c>
      <c r="C85" s="1">
        <v>500000</v>
      </c>
    </row>
    <row r="86" spans="1:18" x14ac:dyDescent="0.5">
      <c r="A86" s="1" t="s">
        <v>296</v>
      </c>
      <c r="B86" s="1">
        <v>200000</v>
      </c>
      <c r="C86" s="1">
        <v>200000</v>
      </c>
    </row>
    <row r="87" spans="1:18" x14ac:dyDescent="0.5">
      <c r="A87" s="1" t="s">
        <v>294</v>
      </c>
      <c r="B87" s="1">
        <v>250000</v>
      </c>
      <c r="C87" s="1">
        <v>250000</v>
      </c>
    </row>
    <row r="88" spans="1:18" x14ac:dyDescent="0.5">
      <c r="A88" s="1" t="s">
        <v>295</v>
      </c>
      <c r="B88" s="1">
        <v>100000</v>
      </c>
      <c r="C88" s="1">
        <v>100000</v>
      </c>
    </row>
    <row r="89" spans="1:18" x14ac:dyDescent="0.5">
      <c r="A89" s="1" t="s">
        <v>299</v>
      </c>
      <c r="B89" s="1">
        <v>360000</v>
      </c>
      <c r="C89" s="1">
        <v>360000</v>
      </c>
    </row>
    <row r="90" spans="1:18" x14ac:dyDescent="0.5">
      <c r="A90" s="1" t="s">
        <v>290</v>
      </c>
      <c r="B90" s="1">
        <v>350000</v>
      </c>
      <c r="C90" s="1">
        <v>350000</v>
      </c>
    </row>
    <row r="91" spans="1:18" x14ac:dyDescent="0.5">
      <c r="A91" s="1" t="s">
        <v>260</v>
      </c>
      <c r="B91" s="1">
        <v>200000</v>
      </c>
      <c r="C91" s="1">
        <f>200000</f>
        <v>200000</v>
      </c>
    </row>
    <row r="93" spans="1:18" x14ac:dyDescent="0.5">
      <c r="A93" t="s">
        <v>4</v>
      </c>
      <c r="B93">
        <f>SUM(B67:B91)</f>
        <v>12462750</v>
      </c>
      <c r="C93">
        <f>SUM(C67:C91)+D79</f>
        <v>12391750</v>
      </c>
    </row>
    <row r="94" spans="1:18" x14ac:dyDescent="0.5">
      <c r="A94" t="s">
        <v>249</v>
      </c>
      <c r="B94">
        <f>B93/655</f>
        <v>19027.099236641221</v>
      </c>
      <c r="C94">
        <f>C93/655</f>
        <v>18918.702290076337</v>
      </c>
    </row>
    <row r="95" spans="1:18" x14ac:dyDescent="0.5">
      <c r="H95" t="s">
        <v>280</v>
      </c>
      <c r="I95">
        <f>SUM(I74:I80)</f>
        <v>45.894999999999996</v>
      </c>
      <c r="K95" t="s">
        <v>4</v>
      </c>
      <c r="L95">
        <f>SUM(L72:L94)</f>
        <v>84.603999999999985</v>
      </c>
      <c r="N95" t="s">
        <v>4</v>
      </c>
      <c r="O95">
        <f t="shared" ref="O95" si="0">SUM(O72:O94)</f>
        <v>11.743600000000001</v>
      </c>
      <c r="Q95" t="s">
        <v>35</v>
      </c>
      <c r="R95">
        <f t="shared" ref="R95" si="1">SUM(R72:R94)</f>
        <v>67.2</v>
      </c>
    </row>
    <row r="96" spans="1:18" x14ac:dyDescent="0.5">
      <c r="L96">
        <v>130</v>
      </c>
      <c r="O96">
        <v>6</v>
      </c>
      <c r="R96">
        <v>67</v>
      </c>
    </row>
    <row r="97" spans="1:18" x14ac:dyDescent="0.5">
      <c r="A97" t="s">
        <v>245</v>
      </c>
      <c r="B97">
        <f>2000+4000+3000+800+553+1950+4000+1000+1300</f>
        <v>18603</v>
      </c>
      <c r="C97" t="s">
        <v>78</v>
      </c>
      <c r="D97" t="s">
        <v>83</v>
      </c>
      <c r="E97" t="s">
        <v>287</v>
      </c>
      <c r="F97" t="s">
        <v>66</v>
      </c>
      <c r="G97" t="s">
        <v>286</v>
      </c>
      <c r="H97" t="s">
        <v>289</v>
      </c>
    </row>
    <row r="99" spans="1:18" x14ac:dyDescent="0.5">
      <c r="A99" t="s">
        <v>21</v>
      </c>
      <c r="B99">
        <f>B97-C94</f>
        <v>-315.70229007633679</v>
      </c>
      <c r="L99">
        <f>L96*7000</f>
        <v>910000</v>
      </c>
      <c r="O99">
        <f>O96*5000</f>
        <v>30000</v>
      </c>
      <c r="R99">
        <f>R96*5500</f>
        <v>368500</v>
      </c>
    </row>
    <row r="103" spans="1:18" x14ac:dyDescent="0.5">
      <c r="K103" t="s">
        <v>35</v>
      </c>
      <c r="M103">
        <f>I99+L99+O99+R99</f>
        <v>1308500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75" x14ac:dyDescent="0.5"/>
  <cols>
    <col min="1" max="1" width="30.125" bestFit="1" customWidth="1"/>
    <col min="2" max="2" width="18.875" bestFit="1" customWidth="1"/>
  </cols>
  <sheetData>
    <row r="3" spans="1:7" x14ac:dyDescent="0.5">
      <c r="A3" s="1" t="s">
        <v>171</v>
      </c>
      <c r="B3" s="1"/>
      <c r="C3" s="1"/>
      <c r="D3" s="1"/>
      <c r="E3" s="1"/>
    </row>
    <row r="4" spans="1:7" x14ac:dyDescent="0.5">
      <c r="A4" s="1"/>
      <c r="B4" s="1"/>
      <c r="C4" s="1" t="s">
        <v>172</v>
      </c>
      <c r="D4" s="1"/>
      <c r="E4" s="1" t="s">
        <v>173</v>
      </c>
    </row>
    <row r="5" spans="1:7" x14ac:dyDescent="0.5">
      <c r="A5" s="1"/>
      <c r="B5" s="1" t="s">
        <v>167</v>
      </c>
      <c r="C5" s="1">
        <f>75000*6</f>
        <v>450000</v>
      </c>
      <c r="D5" s="1"/>
      <c r="E5" s="1">
        <v>450000</v>
      </c>
    </row>
    <row r="6" spans="1:7" x14ac:dyDescent="0.5">
      <c r="A6" s="1"/>
      <c r="B6" s="1" t="s">
        <v>168</v>
      </c>
      <c r="C6" s="1">
        <v>432000</v>
      </c>
      <c r="D6" s="1"/>
      <c r="E6" s="1">
        <v>450000</v>
      </c>
    </row>
    <row r="7" spans="1:7" x14ac:dyDescent="0.5">
      <c r="A7" s="1"/>
      <c r="B7" s="1" t="s">
        <v>180</v>
      </c>
      <c r="C7" s="1"/>
      <c r="D7" s="1"/>
      <c r="E7" s="1">
        <v>60000</v>
      </c>
    </row>
    <row r="8" spans="1:7" x14ac:dyDescent="0.5">
      <c r="A8" s="1"/>
      <c r="B8" s="1" t="s">
        <v>169</v>
      </c>
      <c r="C8" s="1">
        <v>60000</v>
      </c>
      <c r="D8" s="1"/>
      <c r="E8" s="1">
        <v>60000</v>
      </c>
    </row>
    <row r="9" spans="1:7" x14ac:dyDescent="0.5">
      <c r="A9" s="1"/>
      <c r="B9" s="1" t="s">
        <v>170</v>
      </c>
      <c r="C9" s="1">
        <v>180000</v>
      </c>
      <c r="D9" s="1"/>
      <c r="E9" s="1">
        <v>180000</v>
      </c>
    </row>
    <row r="10" spans="1:7" x14ac:dyDescent="0.5">
      <c r="A10" s="1"/>
      <c r="B10" s="1"/>
      <c r="C10" s="1"/>
      <c r="D10" s="1"/>
      <c r="E10" s="1"/>
    </row>
    <row r="11" spans="1:7" x14ac:dyDescent="0.5">
      <c r="A11" s="1"/>
      <c r="B11" s="1" t="s">
        <v>143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5">
      <c r="A14" t="s">
        <v>174</v>
      </c>
      <c r="B14" t="s">
        <v>175</v>
      </c>
      <c r="C14">
        <v>2000000</v>
      </c>
      <c r="E14" s="1">
        <v>500000</v>
      </c>
    </row>
    <row r="15" spans="1:7" x14ac:dyDescent="0.5">
      <c r="B15" t="s">
        <v>179</v>
      </c>
      <c r="C15">
        <v>600000</v>
      </c>
      <c r="E15" s="1">
        <v>600000</v>
      </c>
    </row>
    <row r="16" spans="1:7" x14ac:dyDescent="0.5">
      <c r="B16" t="s">
        <v>176</v>
      </c>
      <c r="C16">
        <v>45000</v>
      </c>
      <c r="E16" s="1">
        <v>45000</v>
      </c>
    </row>
    <row r="17" spans="2:7" x14ac:dyDescent="0.5">
      <c r="B17" t="s">
        <v>177</v>
      </c>
      <c r="C17">
        <v>150000</v>
      </c>
      <c r="E17" s="1">
        <v>150000</v>
      </c>
    </row>
    <row r="18" spans="2:7" x14ac:dyDescent="0.5">
      <c r="B18" t="s">
        <v>181</v>
      </c>
      <c r="E18" s="1">
        <v>32000</v>
      </c>
    </row>
    <row r="19" spans="2:7" x14ac:dyDescent="0.5">
      <c r="B19" t="s">
        <v>182</v>
      </c>
      <c r="D19" t="s">
        <v>106</v>
      </c>
      <c r="E19" s="1">
        <v>1390000</v>
      </c>
    </row>
    <row r="20" spans="2:7" x14ac:dyDescent="0.5">
      <c r="B20" t="s">
        <v>178</v>
      </c>
      <c r="C20">
        <v>14000</v>
      </c>
      <c r="E20" s="1">
        <v>14000</v>
      </c>
    </row>
    <row r="21" spans="2:7" x14ac:dyDescent="0.5">
      <c r="B21" t="s">
        <v>175</v>
      </c>
      <c r="D21" t="s">
        <v>106</v>
      </c>
      <c r="E21" s="1">
        <v>500000</v>
      </c>
    </row>
    <row r="22" spans="2:7" x14ac:dyDescent="0.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75" x14ac:dyDescent="0.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5">
      <c r="L2" t="s">
        <v>36</v>
      </c>
      <c r="O2" t="s">
        <v>42</v>
      </c>
    </row>
    <row r="4" spans="1:16" x14ac:dyDescent="0.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5">
      <c r="L5" t="s">
        <v>37</v>
      </c>
      <c r="M5">
        <v>3057</v>
      </c>
      <c r="O5" t="s">
        <v>44</v>
      </c>
      <c r="P5">
        <v>200</v>
      </c>
    </row>
    <row r="6" spans="1:16" x14ac:dyDescent="0.5">
      <c r="A6" t="s">
        <v>39</v>
      </c>
      <c r="B6">
        <v>2300</v>
      </c>
      <c r="L6" t="s">
        <v>40</v>
      </c>
      <c r="M6">
        <v>1525</v>
      </c>
    </row>
    <row r="7" spans="1:16" x14ac:dyDescent="0.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5">
      <c r="A8" t="s">
        <v>38</v>
      </c>
      <c r="B8">
        <v>2260</v>
      </c>
      <c r="L8" t="s">
        <v>41</v>
      </c>
      <c r="M8">
        <v>2310</v>
      </c>
    </row>
    <row r="9" spans="1:16" x14ac:dyDescent="0.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5">
      <c r="L10" t="s">
        <v>45</v>
      </c>
      <c r="M10">
        <v>100</v>
      </c>
    </row>
    <row r="13" spans="1:16" x14ac:dyDescent="0.5">
      <c r="G13" t="s">
        <v>34</v>
      </c>
    </row>
    <row r="14" spans="1:16" x14ac:dyDescent="0.5">
      <c r="A14" t="s">
        <v>33</v>
      </c>
      <c r="C14">
        <f>B9+E9</f>
        <v>500</v>
      </c>
    </row>
    <row r="19" spans="1:13" x14ac:dyDescent="0.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5">
      <c r="A22" t="s">
        <v>30</v>
      </c>
      <c r="B22">
        <v>7640</v>
      </c>
      <c r="D22" t="s">
        <v>32</v>
      </c>
      <c r="E22">
        <v>3820</v>
      </c>
    </row>
    <row r="24" spans="1:13" x14ac:dyDescent="0.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5">
      <c r="G28" t="s">
        <v>34</v>
      </c>
    </row>
    <row r="29" spans="1:13" x14ac:dyDescent="0.5">
      <c r="A29" t="s">
        <v>33</v>
      </c>
      <c r="C29">
        <f>B24+E24</f>
        <v>3540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627F-7AEE-416D-9F04-F7086E9168AB}">
  <dimension ref="A4:I21"/>
  <sheetViews>
    <sheetView workbookViewId="0">
      <selection activeCell="B21" sqref="B21"/>
    </sheetView>
  </sheetViews>
  <sheetFormatPr baseColWidth="10" defaultRowHeight="15.75" x14ac:dyDescent="0.5"/>
  <cols>
    <col min="1" max="1" width="13.125" bestFit="1" customWidth="1"/>
    <col min="2" max="2" width="19.75" bestFit="1" customWidth="1"/>
  </cols>
  <sheetData>
    <row r="4" spans="1:9" x14ac:dyDescent="0.5">
      <c r="B4" t="s">
        <v>307</v>
      </c>
      <c r="G4">
        <f>100*3500</f>
        <v>350000</v>
      </c>
    </row>
    <row r="5" spans="1:9" x14ac:dyDescent="0.5">
      <c r="A5" t="s">
        <v>308</v>
      </c>
      <c r="B5">
        <v>53000</v>
      </c>
    </row>
    <row r="6" spans="1:9" x14ac:dyDescent="0.5">
      <c r="A6" t="s">
        <v>309</v>
      </c>
      <c r="B6">
        <v>30000</v>
      </c>
    </row>
    <row r="8" spans="1:9" x14ac:dyDescent="0.5">
      <c r="A8" t="s">
        <v>310</v>
      </c>
      <c r="B8">
        <v>54000</v>
      </c>
      <c r="E8">
        <f>54000+30000+45000+5000+54000</f>
        <v>188000</v>
      </c>
      <c r="H8">
        <f>3500*100</f>
        <v>350000</v>
      </c>
    </row>
    <row r="9" spans="1:9" x14ac:dyDescent="0.5">
      <c r="A9" t="s">
        <v>311</v>
      </c>
      <c r="B9">
        <v>30000</v>
      </c>
    </row>
    <row r="10" spans="1:9" x14ac:dyDescent="0.5">
      <c r="B10">
        <v>45000</v>
      </c>
      <c r="I10">
        <f>3500</f>
        <v>3500</v>
      </c>
    </row>
    <row r="11" spans="1:9" x14ac:dyDescent="0.5">
      <c r="B11">
        <v>5000</v>
      </c>
      <c r="G11">
        <f>H8-E8</f>
        <v>162000</v>
      </c>
    </row>
    <row r="12" spans="1:9" x14ac:dyDescent="0.5">
      <c r="A12" t="s">
        <v>312</v>
      </c>
      <c r="B12">
        <v>54000</v>
      </c>
    </row>
    <row r="21" spans="1:2" x14ac:dyDescent="0.5">
      <c r="A21" t="s">
        <v>4</v>
      </c>
      <c r="B21">
        <f>SUM(B8:B18)</f>
        <v>188000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28</vt:i4>
      </vt:variant>
    </vt:vector>
  </HeadingPairs>
  <TitlesOfParts>
    <vt:vector size="28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JUIN125</vt:lpstr>
      <vt:lpstr>Juin25</vt:lpstr>
      <vt:lpstr>Juillet25</vt:lpstr>
      <vt:lpstr>AOUT25</vt:lpstr>
      <vt:lpstr>Credit</vt:lpstr>
      <vt:lpstr>Entreprise</vt:lpstr>
      <vt:lpstr>Construction </vt:lpstr>
      <vt:lpstr>Construction2</vt:lpstr>
      <vt:lpstr>Terrain</vt:lpstr>
      <vt:lpstr>Poulayer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2026-06-12T22:01:00Z</dcterms:modified>
</cp:coreProperties>
</file>