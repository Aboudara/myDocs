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_AUTOMATION\Documents\projet-git\myDocs\"/>
    </mc:Choice>
  </mc:AlternateContent>
  <xr:revisionPtr revIDLastSave="0" documentId="13_ncr:1_{04367D7F-80F7-4910-BFFD-59470B388622}" xr6:coauthVersionLast="47" xr6:coauthVersionMax="47" xr10:uidLastSave="{00000000-0000-0000-0000-000000000000}"/>
  <bookViews>
    <workbookView xWindow="19080" yWindow="-120" windowWidth="29040" windowHeight="15840" firstSheet="24" activeTab="31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Avril25" sheetId="48" r:id="rId29"/>
    <sheet name="Credit" sheetId="28" r:id="rId30"/>
    <sheet name="Entreprise" sheetId="35" r:id="rId31"/>
    <sheet name="Construction " sheetId="27" r:id="rId32"/>
    <sheet name="Construction2" sheetId="39" r:id="rId33"/>
    <sheet name="Terrain" sheetId="18" r:id="rId34"/>
    <sheet name="Poulailler" sheetId="20" r:id="rId35"/>
    <sheet name="divers " sheetId="22" r:id="rId36"/>
    <sheet name="MB MEACSYTEM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3" i="27" l="1"/>
  <c r="C78" i="27"/>
  <c r="C81" i="27"/>
  <c r="B90" i="27"/>
  <c r="D79" i="27"/>
  <c r="E78" i="27"/>
  <c r="C74" i="27"/>
  <c r="C76" i="27"/>
  <c r="H4" i="48"/>
  <c r="C73" i="27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2" i="27"/>
  <c r="O92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2" i="27"/>
  <c r="R74" i="27"/>
  <c r="R73" i="27"/>
  <c r="R72" i="27"/>
  <c r="R88" i="27" s="1"/>
  <c r="O73" i="27"/>
  <c r="O72" i="27"/>
  <c r="I74" i="27"/>
  <c r="L75" i="27"/>
  <c r="L74" i="27"/>
  <c r="L73" i="27"/>
  <c r="L72" i="27"/>
  <c r="C84" i="27"/>
  <c r="C67" i="27"/>
  <c r="B67" i="27"/>
  <c r="B73" i="27"/>
  <c r="C15" i="46"/>
  <c r="B75" i="27"/>
  <c r="C86" i="27" l="1"/>
  <c r="L88" i="27"/>
  <c r="I88" i="27"/>
  <c r="O88" i="27"/>
  <c r="D26" i="48"/>
  <c r="C29" i="48" s="1"/>
  <c r="J34" i="48" s="1"/>
  <c r="M96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7" i="27"/>
  <c r="B92" i="27" s="1"/>
  <c r="B86" i="27"/>
  <c r="B87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<sst xmlns="http://schemas.openxmlformats.org/spreadsheetml/2006/main" count="1810" uniqueCount="462">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</sst>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C10" sqref="C10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6500+1000</f>
        <v>7500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303</v>
      </c>
      <c r="C17" s="11">
        <v>1500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3886</v>
      </c>
      <c r="D22" s="11"/>
      <c r="E22" s="11"/>
      <c r="F22" s="11">
        <f>SUM(F7:F20)+150</f>
        <v>2061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5947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5947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1553</v>
      </c>
      <c r="D34" s="11"/>
      <c r="E34" s="11"/>
      <c r="F34" s="11"/>
      <c r="G34" s="11"/>
      <c r="H34" s="11"/>
      <c r="I34" s="11"/>
      <c r="J34" s="11">
        <f>C29+L29</f>
        <v>6451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topLeftCell="A19" workbookViewId="0">
      <selection activeCell="B32" sqref="B32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  <c r="M11">
        <v>500</v>
      </c>
    </row>
    <row r="12" spans="1:15" x14ac:dyDescent="0.25">
      <c r="J12">
        <v>300</v>
      </c>
      <c r="L12" t="s">
        <v>427</v>
      </c>
      <c r="M12">
        <v>500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2116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18000</v>
      </c>
    </row>
    <row r="22" spans="1:15" x14ac:dyDescent="0.25">
      <c r="M22">
        <f>SUM(M7:M20)</f>
        <v>3000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>
        <v>1000</v>
      </c>
      <c r="D30" s="17"/>
      <c r="E30" s="17"/>
      <c r="F30" s="17"/>
    </row>
    <row r="31" spans="1:15" x14ac:dyDescent="0.25">
      <c r="A31" s="17" t="s">
        <v>242</v>
      </c>
      <c r="B31" s="17">
        <v>500</v>
      </c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1500</v>
      </c>
      <c r="C41" s="18">
        <f>SUM(C27:C39)</f>
        <v>2000</v>
      </c>
      <c r="D41" s="18">
        <f>SUM(D27:D39)</f>
        <v>0</v>
      </c>
      <c r="E41" s="18">
        <f>SUM(E27:E39)</f>
        <v>0</v>
      </c>
      <c r="F41" s="18">
        <f>SUM(B41:E41)</f>
        <v>3500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9000</v>
      </c>
      <c r="D34" s="5">
        <f>C34+(C34*20%)</f>
        <v>10800</v>
      </c>
      <c r="E34" s="5">
        <f>C34*26%</f>
        <v>2340</v>
      </c>
      <c r="F34" s="5">
        <f>C34-E34</f>
        <v>6660</v>
      </c>
      <c r="G34" s="5">
        <f>D34-C34</f>
        <v>1800</v>
      </c>
    </row>
    <row r="36" spans="1:7" x14ac:dyDescent="0.25">
      <c r="A36" t="s">
        <v>362</v>
      </c>
      <c r="C36">
        <f>C33+C34</f>
        <v>9000</v>
      </c>
      <c r="D36">
        <f>D33+D34</f>
        <v>10800</v>
      </c>
      <c r="E36" s="5">
        <f>E33+E34</f>
        <v>2340</v>
      </c>
      <c r="F36" s="19">
        <f>F33+F34</f>
        <v>6660</v>
      </c>
      <c r="G36" s="5">
        <f>G33+G34</f>
        <v>1800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6"/>
  <sheetViews>
    <sheetView tabSelected="1" topLeftCell="A68" zoomScale="106" workbookViewId="0">
      <selection activeCell="C84" sqref="C84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s="5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s="5" t="s">
        <v>408</v>
      </c>
      <c r="B68" s="5">
        <v>396250</v>
      </c>
      <c r="C68" s="5">
        <v>396250</v>
      </c>
    </row>
    <row r="69" spans="1:18" x14ac:dyDescent="0.25">
      <c r="A69" s="5" t="s">
        <v>409</v>
      </c>
      <c r="B69" s="5">
        <v>350000</v>
      </c>
      <c r="C69" s="5">
        <v>350000</v>
      </c>
    </row>
    <row r="70" spans="1:18" x14ac:dyDescent="0.25">
      <c r="A70" s="5" t="s">
        <v>410</v>
      </c>
      <c r="B70" s="5">
        <v>400000</v>
      </c>
      <c r="C70" s="5">
        <v>400000</v>
      </c>
    </row>
    <row r="71" spans="1:18" x14ac:dyDescent="0.25">
      <c r="A71" s="5" t="s">
        <v>412</v>
      </c>
      <c r="B71" s="5">
        <v>260000</v>
      </c>
      <c r="C71" s="5">
        <v>260000</v>
      </c>
      <c r="K71" t="s">
        <v>445</v>
      </c>
      <c r="N71" t="s">
        <v>446</v>
      </c>
      <c r="Q71" t="s">
        <v>449</v>
      </c>
    </row>
    <row r="72" spans="1:18" x14ac:dyDescent="0.25">
      <c r="A72" s="5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250000+60000+230000</f>
        <v>540000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s="5" t="s">
        <v>422</v>
      </c>
      <c r="B74" s="5">
        <v>2100000</v>
      </c>
      <c r="C74" s="5">
        <f>500000+200000+300000+200000+100000+250000+150000+300000</f>
        <v>2000000</v>
      </c>
      <c r="H74" t="s">
        <v>441</v>
      </c>
      <c r="I74">
        <f>3*5</f>
        <v>15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s="5" t="s">
        <v>423</v>
      </c>
      <c r="B75" s="5">
        <f>675000+120000</f>
        <v>795000</v>
      </c>
      <c r="C75" s="5">
        <f>73000+73000+73000+73000+73000+88000</f>
        <v>453000</v>
      </c>
      <c r="H75" t="s">
        <v>442</v>
      </c>
      <c r="I75">
        <f>0.95*4.1</f>
        <v>3.8949999999999996</v>
      </c>
      <c r="K75" t="s">
        <v>440</v>
      </c>
      <c r="L75">
        <f>1.4*16</f>
        <v>22.4</v>
      </c>
      <c r="Q75" t="s">
        <v>443</v>
      </c>
    </row>
    <row r="76" spans="1:18" x14ac:dyDescent="0.25">
      <c r="A76" s="5" t="s">
        <v>432</v>
      </c>
      <c r="B76" s="5">
        <v>675000</v>
      </c>
      <c r="C76" s="5">
        <f>300000+150000+125000+100000</f>
        <v>675000</v>
      </c>
      <c r="K76" t="s">
        <v>443</v>
      </c>
      <c r="L76">
        <v>6</v>
      </c>
      <c r="N76" t="s">
        <v>270</v>
      </c>
      <c r="O76">
        <v>6</v>
      </c>
      <c r="Q76" t="s">
        <v>444</v>
      </c>
    </row>
    <row r="77" spans="1:18" x14ac:dyDescent="0.25">
      <c r="A77" s="5" t="s">
        <v>431</v>
      </c>
      <c r="B77" s="5">
        <v>650000</v>
      </c>
      <c r="C77" s="5">
        <f>300000+201000+150000</f>
        <v>651000</v>
      </c>
      <c r="K77" t="s">
        <v>444</v>
      </c>
      <c r="L77">
        <v>8</v>
      </c>
    </row>
    <row r="78" spans="1:18" x14ac:dyDescent="0.25">
      <c r="A78" t="s">
        <v>434</v>
      </c>
      <c r="B78">
        <v>1500000</v>
      </c>
      <c r="C78">
        <f>500000+500000+300000</f>
        <v>1300000</v>
      </c>
      <c r="E78">
        <f>45*6750</f>
        <v>303750</v>
      </c>
    </row>
    <row r="79" spans="1:18" x14ac:dyDescent="0.25">
      <c r="A79" t="s">
        <v>435</v>
      </c>
      <c r="B79">
        <v>450000</v>
      </c>
      <c r="C79">
        <v>250000</v>
      </c>
      <c r="D79">
        <f>30000+50000+150000</f>
        <v>230000</v>
      </c>
      <c r="E79" t="s">
        <v>461</v>
      </c>
      <c r="H79" t="s">
        <v>456</v>
      </c>
      <c r="I79">
        <v>10</v>
      </c>
    </row>
    <row r="80" spans="1:18" x14ac:dyDescent="0.25">
      <c r="A80" s="5" t="s">
        <v>436</v>
      </c>
      <c r="B80" s="5">
        <v>155000</v>
      </c>
      <c r="C80" s="5">
        <f>155000</f>
        <v>155000</v>
      </c>
      <c r="H80" t="s">
        <v>454</v>
      </c>
      <c r="I80">
        <v>17</v>
      </c>
    </row>
    <row r="81" spans="1:18" x14ac:dyDescent="0.25">
      <c r="A81" t="s">
        <v>457</v>
      </c>
      <c r="B81">
        <v>480000</v>
      </c>
      <c r="C81">
        <f>280000+100000</f>
        <v>380000</v>
      </c>
    </row>
    <row r="82" spans="1:18" x14ac:dyDescent="0.25">
      <c r="A82" s="5" t="s">
        <v>455</v>
      </c>
      <c r="B82" s="5">
        <v>292000</v>
      </c>
      <c r="C82" s="5">
        <f>292000</f>
        <v>292000</v>
      </c>
    </row>
    <row r="83" spans="1:18" x14ac:dyDescent="0.25">
      <c r="A83" t="s">
        <v>458</v>
      </c>
      <c r="B83">
        <v>200000</v>
      </c>
      <c r="C83">
        <f>50000+50000</f>
        <v>100000</v>
      </c>
    </row>
    <row r="84" spans="1:18" x14ac:dyDescent="0.25">
      <c r="A84" s="5" t="s">
        <v>433</v>
      </c>
      <c r="B84" s="5">
        <v>200000</v>
      </c>
      <c r="C84" s="5">
        <f>200000</f>
        <v>200000</v>
      </c>
    </row>
    <row r="86" spans="1:18" x14ac:dyDescent="0.25">
      <c r="A86" t="s">
        <v>6</v>
      </c>
      <c r="B86">
        <f>SUM(B67:B84)</f>
        <v>10122750</v>
      </c>
      <c r="C86">
        <f>SUM(C67:C84)+D79</f>
        <v>9261750</v>
      </c>
    </row>
    <row r="87" spans="1:18" x14ac:dyDescent="0.25">
      <c r="A87" t="s">
        <v>421</v>
      </c>
      <c r="B87">
        <f>B86/655</f>
        <v>15454.580152671755</v>
      </c>
      <c r="C87">
        <f>C86/655</f>
        <v>14140.076335877862</v>
      </c>
    </row>
    <row r="88" spans="1:18" x14ac:dyDescent="0.25">
      <c r="H88" t="s">
        <v>453</v>
      </c>
      <c r="I88">
        <f>SUM(I74:I80)</f>
        <v>45.894999999999996</v>
      </c>
      <c r="K88" t="s">
        <v>6</v>
      </c>
      <c r="L88">
        <f>SUM(L72:L87)</f>
        <v>84.603999999999985</v>
      </c>
      <c r="N88" t="s">
        <v>6</v>
      </c>
      <c r="O88">
        <f t="shared" ref="O88" si="0">SUM(O72:O87)</f>
        <v>11.743600000000001</v>
      </c>
      <c r="Q88" t="s">
        <v>175</v>
      </c>
      <c r="R88">
        <f t="shared" ref="R88" si="1">SUM(R72:R87)</f>
        <v>67.2</v>
      </c>
    </row>
    <row r="89" spans="1:18" x14ac:dyDescent="0.25">
      <c r="L89">
        <v>130</v>
      </c>
      <c r="O89">
        <v>6</v>
      </c>
      <c r="R89">
        <v>67</v>
      </c>
    </row>
    <row r="90" spans="1:18" x14ac:dyDescent="0.25">
      <c r="A90" t="s">
        <v>417</v>
      </c>
      <c r="B90">
        <f>2000+4000+3000+800+1500</f>
        <v>11300</v>
      </c>
      <c r="C90" t="s">
        <v>234</v>
      </c>
      <c r="D90" t="s">
        <v>240</v>
      </c>
      <c r="E90" t="s">
        <v>460</v>
      </c>
      <c r="F90" t="s">
        <v>222</v>
      </c>
      <c r="G90" t="s">
        <v>459</v>
      </c>
    </row>
    <row r="92" spans="1:18" x14ac:dyDescent="0.25">
      <c r="A92" t="s">
        <v>99</v>
      </c>
      <c r="B92">
        <f>B90-C87</f>
        <v>-2840.0763358778622</v>
      </c>
      <c r="L92">
        <f>L89*7000</f>
        <v>910000</v>
      </c>
      <c r="O92">
        <f>O89*5000</f>
        <v>30000</v>
      </c>
      <c r="R92">
        <f>R89*5500</f>
        <v>368500</v>
      </c>
    </row>
    <row r="96" spans="1:18" x14ac:dyDescent="0.25">
      <c r="K96" t="s">
        <v>175</v>
      </c>
      <c r="M96">
        <f>I92+L92+O92+R92</f>
        <v>1308500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37</vt:i4>
      </vt:variant>
    </vt:vector>
  </HeadingPairs>
  <TitlesOfParts>
    <vt:vector size="37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2025-04-18T19:46:43Z</dcterms:modified>
</cp:coreProperties>
</file>